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128d38107d09be1/Bureau/MBF2/S1/VBA/"/>
    </mc:Choice>
  </mc:AlternateContent>
  <xr:revisionPtr revIDLastSave="27938" documentId="8_{1603944A-A168-4109-81F3-353B867543B4}" xr6:coauthVersionLast="47" xr6:coauthVersionMax="47" xr10:uidLastSave="{46CD5797-7DD2-45FB-8781-476E5E2DD733}"/>
  <bookViews>
    <workbookView xWindow="-19320" yWindow="-120" windowWidth="19440" windowHeight="14880" xr2:uid="{1E3F43CB-8EB5-4D52-981E-CBD92217F414}"/>
  </bookViews>
  <sheets>
    <sheet name="Interface" sheetId="1" r:id="rId1"/>
    <sheet name="Data" sheetId="3" r:id="rId2"/>
    <sheet name="Options" sheetId="15" r:id="rId3"/>
    <sheet name="taux finaux" sheetId="16" r:id="rId4"/>
    <sheet name="Backup" sheetId="17" r:id="rId5"/>
    <sheet name="Calls" sheetId="10" r:id="rId6"/>
    <sheet name="Puts" sheetId="12" r:id="rId7"/>
    <sheet name="Stock Finder" sheetId="13" r:id="rId8"/>
    <sheet name="Taux" sheetId="5" r:id="rId9"/>
  </sheets>
  <functionGroups builtInGroupCount="19"/>
  <definedNames>
    <definedName name="_xleta.NORM.S.DIST" hidden="1" xlm="1">#NAME?</definedName>
    <definedName name="_xleta.VLOOKUP" hidden="1" xlm="1">#NAME?</definedName>
    <definedName name="daily_returns">Data!$D$3:$D$1258</definedName>
    <definedName name="Taux_EUR">'taux finaux'!$A$18:$C$22</definedName>
    <definedName name="Taux_US">'taux finaux'!$A$1:$C$17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" l="1"/>
  <c r="C12" i="1"/>
  <c r="C10" i="1"/>
  <c r="C9" i="1"/>
  <c r="C8" i="1"/>
  <c r="C5" i="1"/>
  <c r="C4" i="1" s="1"/>
  <c r="G8" i="15" a="1"/>
  <c r="G8" i="15" l="1"/>
  <c r="G16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<sst xmlns="http://schemas.openxmlformats.org/spreadsheetml/2006/main" count="792" uniqueCount="347">
  <si>
    <t>Ticker</t>
  </si>
  <si>
    <t xml:space="preserve">Date début </t>
  </si>
  <si>
    <t>Date fin</t>
  </si>
  <si>
    <t>Date</t>
  </si>
  <si>
    <t>Prix</t>
  </si>
  <si>
    <t>US1M</t>
  </si>
  <si>
    <t>U.S. 1 Month Treasury</t>
  </si>
  <si>
    <t>US 1-MO</t>
  </si>
  <si>
    <t>UP</t>
  </si>
  <si>
    <t>BOND</t>
  </si>
  <si>
    <t>Government Bond</t>
  </si>
  <si>
    <t>Tradeweb</t>
  </si>
  <si>
    <t>Exchange</t>
  </si>
  <si>
    <t>REG_MKT</t>
  </si>
  <si>
    <t>US</t>
  </si>
  <si>
    <t>EST</t>
  </si>
  <si>
    <t>US2M</t>
  </si>
  <si>
    <t>U.S. 2 Month Treasury</t>
  </si>
  <si>
    <t>US 2-MO</t>
  </si>
  <si>
    <t>2-Month T-Bill</t>
  </si>
  <si>
    <t>DOWN</t>
  </si>
  <si>
    <t>US3M</t>
  </si>
  <si>
    <t>U.S. 3 Month Treasury</t>
  </si>
  <si>
    <t>US 3-MO</t>
  </si>
  <si>
    <t>US4M</t>
  </si>
  <si>
    <t>U.S. 4 Month Treasury</t>
  </si>
  <si>
    <t>US 4-MO</t>
  </si>
  <si>
    <t>4-Month T-Bill</t>
  </si>
  <si>
    <t>US6M</t>
  </si>
  <si>
    <t>U.S. 6 Month Treasury</t>
  </si>
  <si>
    <t>US 6-MO</t>
  </si>
  <si>
    <t>US1Y</t>
  </si>
  <si>
    <t>U.S. 1 Year Treasury</t>
  </si>
  <si>
    <t>US 1-YR</t>
  </si>
  <si>
    <t>US2Y</t>
  </si>
  <si>
    <t>U.S. 2 Year Treasury</t>
  </si>
  <si>
    <t>US 2-YR</t>
  </si>
  <si>
    <t>US3Y</t>
  </si>
  <si>
    <t>U.S. 3 Year Treasury</t>
  </si>
  <si>
    <t>US 3-YR</t>
  </si>
  <si>
    <t>US5Y</t>
  </si>
  <si>
    <t>U.S. 5 Year Treasury</t>
  </si>
  <si>
    <t>US 5-YR</t>
  </si>
  <si>
    <t>US7Y</t>
  </si>
  <si>
    <t>U.S. 7 Year Treasury</t>
  </si>
  <si>
    <t>US 7-YR</t>
  </si>
  <si>
    <t>7-Yr T-Note</t>
  </si>
  <si>
    <t>7 year US treasury last price</t>
  </si>
  <si>
    <t>US10Y</t>
  </si>
  <si>
    <t>U.S. 10 Year Treasury</t>
  </si>
  <si>
    <t>US 10-YR</t>
  </si>
  <si>
    <t>US20Y</t>
  </si>
  <si>
    <t>U.S. 20 Year Treasury</t>
  </si>
  <si>
    <t>US 20-YR</t>
  </si>
  <si>
    <t>US30Y</t>
  </si>
  <si>
    <t>U.S. 30 Year Treasury</t>
  </si>
  <si>
    <t>US 30-YR</t>
  </si>
  <si>
    <t>UK2Y-GB</t>
  </si>
  <si>
    <t>British 2 Year Gilt</t>
  </si>
  <si>
    <t>UK 2-YR</t>
  </si>
  <si>
    <t>EU</t>
  </si>
  <si>
    <t>UK5Y-GB</t>
  </si>
  <si>
    <t>British 5 Year Gilt</t>
  </si>
  <si>
    <t>UK 5-YR</t>
  </si>
  <si>
    <t>United Kingdom</t>
  </si>
  <si>
    <t>GB</t>
  </si>
  <si>
    <t>GMT</t>
  </si>
  <si>
    <t>UK10Y-GB</t>
  </si>
  <si>
    <t>British 10 Year Gilt</t>
  </si>
  <si>
    <t>UK 10-YR</t>
  </si>
  <si>
    <t>UK Gilt 10-yr</t>
  </si>
  <si>
    <t>UK30Y-GB</t>
  </si>
  <si>
    <t>British 30 Year Gilt</t>
  </si>
  <si>
    <t>UK 30-YR</t>
  </si>
  <si>
    <t>DE10Y-DE</t>
  </si>
  <si>
    <t>Bund 10-YR</t>
  </si>
  <si>
    <t>German Bund 10-Yr</t>
  </si>
  <si>
    <t>Germany</t>
  </si>
  <si>
    <t>DE</t>
  </si>
  <si>
    <t>CET</t>
  </si>
  <si>
    <t>DE20Y-DE</t>
  </si>
  <si>
    <t>Germany 20 Year Bond</t>
  </si>
  <si>
    <t>GER 20-YR</t>
  </si>
  <si>
    <t>DE30Y-DE</t>
  </si>
  <si>
    <t>Germany 30 Year Bond</t>
  </si>
  <si>
    <t>GER 30-YR</t>
  </si>
  <si>
    <t>symbol</t>
  </si>
  <si>
    <t>name</t>
  </si>
  <si>
    <t>shortName</t>
  </si>
  <si>
    <t>onAirName</t>
  </si>
  <si>
    <t>altName</t>
  </si>
  <si>
    <t>last</t>
  </si>
  <si>
    <t>last_timedate</t>
  </si>
  <si>
    <t>last_time</t>
  </si>
  <si>
    <t>changetype</t>
  </si>
  <si>
    <t>type</t>
  </si>
  <si>
    <t>subType</t>
  </si>
  <si>
    <t>exchange</t>
  </si>
  <si>
    <t>source</t>
  </si>
  <si>
    <t>open</t>
  </si>
  <si>
    <t>high</t>
  </si>
  <si>
    <t>low</t>
  </si>
  <si>
    <t>change</t>
  </si>
  <si>
    <t>change_pct</t>
  </si>
  <si>
    <t>volume</t>
  </si>
  <si>
    <t>volume_alt</t>
  </si>
  <si>
    <t>previous_day_closing</t>
  </si>
  <si>
    <t>realTime</t>
  </si>
  <si>
    <t>curmktstatus</t>
  </si>
  <si>
    <t>yrhiprice</t>
  </si>
  <si>
    <t>yrhidate</t>
  </si>
  <si>
    <t>yrloprice</t>
  </si>
  <si>
    <t>yrlodate</t>
  </si>
  <si>
    <t>bond_last_price</t>
  </si>
  <si>
    <t>bond_change_price</t>
  </si>
  <si>
    <t>bond_change_pct_price</t>
  </si>
  <si>
    <t>bond_open_price</t>
  </si>
  <si>
    <t>bond_high_price</t>
  </si>
  <si>
    <t>bond_low_price</t>
  </si>
  <si>
    <t>bond_prev_day_closing_price</t>
  </si>
  <si>
    <t>bond_changetype</t>
  </si>
  <si>
    <t>maturity_date</t>
  </si>
  <si>
    <t>coupon</t>
  </si>
  <si>
    <t>countryCode</t>
  </si>
  <si>
    <t>timeZone</t>
  </si>
  <si>
    <t>contractSymbol</t>
  </si>
  <si>
    <t>strike</t>
  </si>
  <si>
    <t>currency</t>
  </si>
  <si>
    <t>lastPrice</t>
  </si>
  <si>
    <t>percentChange</t>
  </si>
  <si>
    <t>openInterest</t>
  </si>
  <si>
    <t>bid</t>
  </si>
  <si>
    <t>ask</t>
  </si>
  <si>
    <t>contractSize</t>
  </si>
  <si>
    <t>expiration</t>
  </si>
  <si>
    <t>lastTradeDate</t>
  </si>
  <si>
    <t>impliedVolatility</t>
  </si>
  <si>
    <t>inTheMoney</t>
  </si>
  <si>
    <t>USD</t>
  </si>
  <si>
    <t>REGULAR</t>
  </si>
  <si>
    <t>Nom société</t>
  </si>
  <si>
    <t>NYQ</t>
  </si>
  <si>
    <t>Rendement Daily</t>
  </si>
  <si>
    <t>volatilité 1 an</t>
  </si>
  <si>
    <t>volatilité 3 ans</t>
  </si>
  <si>
    <t>Type</t>
  </si>
  <si>
    <t>1M</t>
  </si>
  <si>
    <t>2M</t>
  </si>
  <si>
    <t>3M</t>
  </si>
  <si>
    <t>4M</t>
  </si>
  <si>
    <t>6M</t>
  </si>
  <si>
    <t>1Y</t>
  </si>
  <si>
    <t>2Y</t>
  </si>
  <si>
    <t>3Y</t>
  </si>
  <si>
    <t>5Y</t>
  </si>
  <si>
    <t>7Y</t>
  </si>
  <si>
    <t>10Y</t>
  </si>
  <si>
    <t>30Y</t>
  </si>
  <si>
    <t>20Y</t>
  </si>
  <si>
    <t>Time dimension</t>
  </si>
  <si>
    <t>Time Frame</t>
  </si>
  <si>
    <t>Rate</t>
  </si>
  <si>
    <t>NYSE</t>
  </si>
  <si>
    <t>Country</t>
  </si>
  <si>
    <t>Trade Date</t>
  </si>
  <si>
    <t>Spot</t>
  </si>
  <si>
    <t>Strike</t>
  </si>
  <si>
    <t>Y</t>
  </si>
  <si>
    <t>cellule à
remplir</t>
  </si>
  <si>
    <t>Option Price</t>
  </si>
  <si>
    <t>Market Name</t>
  </si>
  <si>
    <t>Market Price</t>
  </si>
  <si>
    <t>Expiration</t>
  </si>
  <si>
    <t>Underlying</t>
  </si>
  <si>
    <t>Volatilité 1Y</t>
  </si>
  <si>
    <t>YTM</t>
  </si>
  <si>
    <t>Risk free rate</t>
  </si>
  <si>
    <t>quoteType</t>
  </si>
  <si>
    <t>score</t>
  </si>
  <si>
    <t>typeDisp</t>
  </si>
  <si>
    <t>longname</t>
  </si>
  <si>
    <t>exchDisp</t>
  </si>
  <si>
    <t>sector</t>
  </si>
  <si>
    <t>sectorDisp</t>
  </si>
  <si>
    <t>industry</t>
  </si>
  <si>
    <t>industryDisp</t>
  </si>
  <si>
    <t>dispSecIndFlag</t>
  </si>
  <si>
    <t>isYahooFinance</t>
  </si>
  <si>
    <t>prevName</t>
  </si>
  <si>
    <t>nameChangeDate</t>
  </si>
  <si>
    <t>EQUITY</t>
  </si>
  <si>
    <t>Equity</t>
  </si>
  <si>
    <t>shortname</t>
  </si>
  <si>
    <t>index</t>
  </si>
  <si>
    <t>quotes</t>
  </si>
  <si>
    <t>Most Relevant
Ticker</t>
  </si>
  <si>
    <t>Company Name</t>
  </si>
  <si>
    <t>Secutity Type</t>
  </si>
  <si>
    <t>Industry</t>
  </si>
  <si>
    <t>Partie Stock</t>
  </si>
  <si>
    <t>Partie Taux</t>
  </si>
  <si>
    <t>Black and Scholes  Model</t>
  </si>
  <si>
    <t>Cellule à remplir</t>
  </si>
  <si>
    <t>NASDAQ</t>
  </si>
  <si>
    <t>Put</t>
  </si>
  <si>
    <t>Ecart</t>
  </si>
  <si>
    <t>F</t>
  </si>
  <si>
    <t>F241227P00005000</t>
  </si>
  <si>
    <t>F241227P00005500</t>
  </si>
  <si>
    <t>F241227P00006000</t>
  </si>
  <si>
    <t>F241227P00006500</t>
  </si>
  <si>
    <t>F241227P00007000</t>
  </si>
  <si>
    <t>F241227P00007500</t>
  </si>
  <si>
    <t>F241227P00008000</t>
  </si>
  <si>
    <t>F241227P00008500</t>
  </si>
  <si>
    <t>F241227P00009000</t>
  </si>
  <si>
    <t>F241227P00009500</t>
  </si>
  <si>
    <t>F241227P00010000</t>
  </si>
  <si>
    <t>F241227P00010500</t>
  </si>
  <si>
    <t>F241227P00011000</t>
  </si>
  <si>
    <t>F241227P00011500</t>
  </si>
  <si>
    <t>F241227P00012000</t>
  </si>
  <si>
    <t>F241227P00012500</t>
  </si>
  <si>
    <t>F241227P00013000</t>
  </si>
  <si>
    <t>F241227P00013500</t>
  </si>
  <si>
    <t>F241227P00014500</t>
  </si>
  <si>
    <t>F241227P00015000</t>
  </si>
  <si>
    <t>F241227P00015500</t>
  </si>
  <si>
    <t>2:12 PM EST</t>
  </si>
  <si>
    <t>2024-12-27T14:12:42.000-0500</t>
  </si>
  <si>
    <t>12:59 PM EST</t>
  </si>
  <si>
    <t>2024-12-27T12:59:51.000-0500</t>
  </si>
  <si>
    <t>5:59 PM GMT</t>
  </si>
  <si>
    <t>2024-12-27T17:59:51.000+0000</t>
  </si>
  <si>
    <t>6:00 PM GMT</t>
  </si>
  <si>
    <t>2024-12-27T18:00:02.000+0000</t>
  </si>
  <si>
    <t>6:59 PM CET</t>
  </si>
  <si>
    <t>2024-12-27T18:59:57.000+0100</t>
  </si>
  <si>
    <t>Apple</t>
  </si>
  <si>
    <t>NMS</t>
  </si>
  <si>
    <t>Apple Inc.</t>
  </si>
  <si>
    <t>AAPL</t>
  </si>
  <si>
    <t>Technology</t>
  </si>
  <si>
    <t>Consumer Electronics</t>
  </si>
  <si>
    <t>Apple Hospitality REIT, Inc.</t>
  </si>
  <si>
    <t>APLE</t>
  </si>
  <si>
    <t>Real Estate</t>
  </si>
  <si>
    <t>REIT—Hotel &amp; Motel</t>
  </si>
  <si>
    <t>FRA</t>
  </si>
  <si>
    <t>Apple Hospitality REIT Inc.   R</t>
  </si>
  <si>
    <t>48T.F</t>
  </si>
  <si>
    <t>Frankfurt</t>
  </si>
  <si>
    <t>GER</t>
  </si>
  <si>
    <t>Apple Inc.                    R</t>
  </si>
  <si>
    <t>APC.DE</t>
  </si>
  <si>
    <t>XETRA</t>
  </si>
  <si>
    <t>Leverage Shares PLC           E</t>
  </si>
  <si>
    <t>1APS.DE</t>
  </si>
  <si>
    <t>Leverage Shares -1x Apple ETC</t>
  </si>
  <si>
    <t>3APE.DE</t>
  </si>
  <si>
    <t>Leverage Shares 3x Apple ETC</t>
  </si>
  <si>
    <t>BER</t>
  </si>
  <si>
    <t>48T.BE</t>
  </si>
  <si>
    <t>Apple Hospitality REIT Inc</t>
  </si>
  <si>
    <t>Berlin</t>
  </si>
  <si>
    <t>3:36 PM EST</t>
  </si>
  <si>
    <t>2024-12-27T15:36:52.000-0500</t>
  </si>
  <si>
    <t>3:10 PM EST</t>
  </si>
  <si>
    <t>2024-12-27T15:10:47.000-0500</t>
  </si>
  <si>
    <t>2024-12-27T15:36:54.000-0500</t>
  </si>
  <si>
    <t>2:59 PM EST</t>
  </si>
  <si>
    <t>2024-12-27T14:59:59.000-0500</t>
  </si>
  <si>
    <t>3:35 PM EST</t>
  </si>
  <si>
    <t>2024-12-27T15:35:38.000-0500</t>
  </si>
  <si>
    <t>3:38 PM EST</t>
  </si>
  <si>
    <t>2024-12-27T15:38:44.000-0500</t>
  </si>
  <si>
    <t>3:37 PM EST</t>
  </si>
  <si>
    <t>2024-12-27T15:37:14.000-0500</t>
  </si>
  <si>
    <t>2024-12-27T15:36:38.000-0500</t>
  </si>
  <si>
    <t>2024-12-27T15:36:20.000-0500</t>
  </si>
  <si>
    <t>3:34 PM EST</t>
  </si>
  <si>
    <t>2024-12-27T15:34:12.000-0500</t>
  </si>
  <si>
    <t>2024-12-27T15:36:46.000-0500</t>
  </si>
  <si>
    <t>8:34 PM GMT</t>
  </si>
  <si>
    <t>2024-12-27T20:34:17.000+0000</t>
  </si>
  <si>
    <t>9:38 PM CET</t>
  </si>
  <si>
    <t>2024-12-27T21:38:56.000+0100</t>
  </si>
  <si>
    <t>8:31 PM CET</t>
  </si>
  <si>
    <t>2024-12-27T20:31:10.000+0100</t>
  </si>
  <si>
    <t>AAPL241227C00110000</t>
  </si>
  <si>
    <t>AAPL241227C00120000</t>
  </si>
  <si>
    <t>AAPL241227C00125000</t>
  </si>
  <si>
    <t>AAPL241227C00130000</t>
  </si>
  <si>
    <t>AAPL241227C00135000</t>
  </si>
  <si>
    <t>AAPL241227C00140000</t>
  </si>
  <si>
    <t>AAPL241227C00150000</t>
  </si>
  <si>
    <t>AAPL241227C00155000</t>
  </si>
  <si>
    <t>AAPL241227C00160000</t>
  </si>
  <si>
    <t>AAPL241227C00165000</t>
  </si>
  <si>
    <t>AAPL241227C00170000</t>
  </si>
  <si>
    <t>AAPL241227C00175000</t>
  </si>
  <si>
    <t>AAPL241227C00180000</t>
  </si>
  <si>
    <t>AAPL241227C00185000</t>
  </si>
  <si>
    <t>AAPL241227C00190000</t>
  </si>
  <si>
    <t>AAPL241227C00195000</t>
  </si>
  <si>
    <t>AAPL241227C00200000</t>
  </si>
  <si>
    <t>AAPL241227C00205000</t>
  </si>
  <si>
    <t>AAPL241227C00207500</t>
  </si>
  <si>
    <t>AAPL241227C00210000</t>
  </si>
  <si>
    <t>AAPL241227C00212500</t>
  </si>
  <si>
    <t>AAPL241227C00215000</t>
  </si>
  <si>
    <t>AAPL241227C00217500</t>
  </si>
  <si>
    <t>AAPL241227C00220000</t>
  </si>
  <si>
    <t>AAPL241227C00222500</t>
  </si>
  <si>
    <t>AAPL241227C00225000</t>
  </si>
  <si>
    <t>AAPL241227C00227500</t>
  </si>
  <si>
    <t>AAPL241227C00230000</t>
  </si>
  <si>
    <t>AAPL241227C00232500</t>
  </si>
  <si>
    <t>AAPL241227C00235000</t>
  </si>
  <si>
    <t>AAPL241227C00237500</t>
  </si>
  <si>
    <t>AAPL241227C00240000</t>
  </si>
  <si>
    <t>AAPL241227C00242500</t>
  </si>
  <si>
    <t>AAPL241227C00245000</t>
  </si>
  <si>
    <t>AAPL241227C00247500</t>
  </si>
  <si>
    <t>AAPL241227C00250000</t>
  </si>
  <si>
    <t>AAPL241227C00252500</t>
  </si>
  <si>
    <t>AAPL241227C00255000</t>
  </si>
  <si>
    <t>AAPL241227C00257500</t>
  </si>
  <si>
    <t>AAPL241227C00260000</t>
  </si>
  <si>
    <t>AAPL241227C00262500</t>
  </si>
  <si>
    <t>AAPL241227C00265000</t>
  </si>
  <si>
    <t>AAPL241227C00267500</t>
  </si>
  <si>
    <t>AAPL241227C00270000</t>
  </si>
  <si>
    <t>AAPL241227C00272500</t>
  </si>
  <si>
    <t>AAPL241227C00275000</t>
  </si>
  <si>
    <t>AAPL241227C00277500</t>
  </si>
  <si>
    <t>AAPL241227C00280000</t>
  </si>
  <si>
    <t>AAPL241227C00282500</t>
  </si>
  <si>
    <t>AAPL241227C00285000</t>
  </si>
  <si>
    <t>AAPL241227C00290000</t>
  </si>
  <si>
    <t>AAPL241227C00295000</t>
  </si>
  <si>
    <t>AAPL241227C00300000</t>
  </si>
  <si>
    <t>AAPL241227C00305000</t>
  </si>
  <si>
    <t>AAPL241227C00310000</t>
  </si>
  <si>
    <t>AAPL241227C00315000</t>
  </si>
  <si>
    <t>AAPL241227C00320000</t>
  </si>
  <si>
    <t>AAPL241227C00325000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</si>
</sst>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00"/>
    <numFmt numFmtId="165" formatCode="0.0000%"/>
    <numFmt numFmtId="166" formatCode="0.00000%"/>
    <numFmt numFmtId="167" formatCode="0.0"/>
  </numFmts>
  <fonts count="8" x14ac:knownFonts="1">
    <font>
      <sz val="11"/>
      <color theme="1"/>
      <name val="Aptos Narrow"/>
      <family val="2"/>
      <scheme val="minor"/>
    </font>
    <font>
      <sz val="6"/>
      <color rgb="FFCB4B16"/>
      <name val="Consolas"/>
      <family val="3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6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3" borderId="0" applyNumberFormat="0" applyBorder="0" applyAlignment="0" applyProtection="0"/>
  </cellStyleXfs>
  <cellXfs count="51">
    <xf numFmtId="0" fontId="0" fillId="0" borderId="0" xfId="0"/>
    <xf numFmtId="0" fontId="1" fillId="0" borderId="0" xfId="0" applyFont="1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164" fontId="0" fillId="0" borderId="0" xfId="0" applyNumberFormat="1"/>
    <xf numFmtId="0" fontId="4" fillId="2" borderId="1" xfId="0" applyFont="1" applyFill="1" applyBorder="1"/>
    <xf numFmtId="165" fontId="0" fillId="0" borderId="0" xfId="1" applyNumberFormat="1" applyFont="1"/>
    <xf numFmtId="166" fontId="0" fillId="0" borderId="0" xfId="1" applyNumberFormat="1" applyFont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3" fillId="3" borderId="0" xfId="2"/>
    <xf numFmtId="0" fontId="5" fillId="0" borderId="0" xfId="0" applyFont="1" applyAlignment="1">
      <alignment wrapText="1"/>
    </xf>
    <xf numFmtId="0" fontId="0" fillId="4" borderId="3" xfId="0" applyFill="1" applyBorder="1"/>
    <xf numFmtId="14" fontId="0" fillId="4" borderId="5" xfId="0" applyNumberFormat="1" applyFill="1" applyBorder="1"/>
    <xf numFmtId="0" fontId="0" fillId="0" borderId="5" xfId="0" applyBorder="1"/>
    <xf numFmtId="10" fontId="0" fillId="0" borderId="5" xfId="0" applyNumberFormat="1" applyBorder="1"/>
    <xf numFmtId="0" fontId="0" fillId="4" borderId="7" xfId="0" applyFill="1" applyBorder="1"/>
    <xf numFmtId="0" fontId="0" fillId="0" borderId="3" xfId="0" applyBorder="1"/>
    <xf numFmtId="14" fontId="0" fillId="0" borderId="5" xfId="0" applyNumberFormat="1" applyBorder="1"/>
    <xf numFmtId="14" fontId="0" fillId="0" borderId="7" xfId="0" applyNumberFormat="1" applyBorder="1"/>
    <xf numFmtId="0" fontId="0" fillId="5" borderId="4" xfId="0" applyFill="1" applyBorder="1"/>
    <xf numFmtId="0" fontId="0" fillId="5" borderId="0" xfId="0" applyFill="1"/>
    <xf numFmtId="0" fontId="0" fillId="5" borderId="5" xfId="0" applyFill="1" applyBorder="1"/>
    <xf numFmtId="0" fontId="0" fillId="5" borderId="6" xfId="0" applyFill="1" applyBorder="1"/>
    <xf numFmtId="0" fontId="0" fillId="5" borderId="9" xfId="0" applyFill="1" applyBorder="1"/>
    <xf numFmtId="0" fontId="0" fillId="5" borderId="7" xfId="0" applyFill="1" applyBorder="1"/>
    <xf numFmtId="0" fontId="0" fillId="5" borderId="4" xfId="0" applyFill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wrapText="1"/>
    </xf>
    <xf numFmtId="0" fontId="0" fillId="0" borderId="7" xfId="0" applyBorder="1"/>
    <xf numFmtId="0" fontId="0" fillId="0" borderId="0" xfId="1" applyNumberFormat="1" applyFont="1"/>
    <xf numFmtId="0" fontId="0" fillId="0" borderId="10" xfId="0" applyBorder="1"/>
    <xf numFmtId="0" fontId="0" fillId="4" borderId="5" xfId="0" applyFill="1" applyBorder="1"/>
    <xf numFmtId="14" fontId="0" fillId="4" borderId="7" xfId="0" applyNumberFormat="1" applyFill="1" applyBorder="1"/>
    <xf numFmtId="0" fontId="0" fillId="4" borderId="0" xfId="0" applyFill="1"/>
    <xf numFmtId="0" fontId="5" fillId="0" borderId="0" xfId="0" applyFont="1"/>
    <xf numFmtId="2" fontId="0" fillId="0" borderId="11" xfId="0" applyNumberFormat="1" applyBorder="1"/>
    <xf numFmtId="11" fontId="0" fillId="0" borderId="0" xfId="0" applyNumberFormat="1"/>
    <xf numFmtId="167" fontId="0" fillId="0" borderId="11" xfId="0" applyNumberFormat="1" applyBorder="1"/>
    <xf numFmtId="0" fontId="6" fillId="5" borderId="2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0" borderId="0" xfId="0" applyFont="1"/>
  </cellXfs>
  <cellStyles count="3">
    <cellStyle name="20 % - Accent6" xfId="2" builtinId="50"/>
    <cellStyle name="Normal" xfId="0" builtinId="0"/>
    <cellStyle name="Pourcentage" xfId="1" builtinId="5"/>
  </cellStyles>
  <dxfs count="17">
    <dxf>
      <numFmt numFmtId="19" formatCode="dd/mm/yyyy"/>
    </dxf>
    <dxf>
      <numFmt numFmtId="19" formatCode="dd/mm/yyyy"/>
    </dxf>
    <dxf>
      <numFmt numFmtId="14" formatCode="0.00%"/>
    </dxf>
    <dxf>
      <numFmt numFmtId="19" formatCode="dd/mm/yyyy"/>
    </dxf>
    <dxf>
      <numFmt numFmtId="14" formatCode="0.00%"/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5" formatCode="0.00E+0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Prix</c:v>
                </c:pt>
              </c:strCache>
            </c:strRef>
          </c:tx>
          <c:marker>
            <c:symbol val="none"/>
          </c:marker>
          <c:cat>
            <c:numRef>
              <c:f>Data!$A$2:$A$1258</c:f>
              <c:numCache>
                <c:formatCode>m/d/yyyy</c:formatCode>
                <c:ptCount val="1257"/>
                <c:pt idx="0">
                  <c:v>43829</c:v>
                </c:pt>
                <c:pt idx="1">
                  <c:v>43830</c:v>
                </c:pt>
                <c:pt idx="2">
                  <c:v>43832</c:v>
                </c:pt>
                <c:pt idx="3">
                  <c:v>43833</c:v>
                </c:pt>
                <c:pt idx="4">
                  <c:v>43836</c:v>
                </c:pt>
                <c:pt idx="5">
                  <c:v>43837</c:v>
                </c:pt>
                <c:pt idx="6">
                  <c:v>43838</c:v>
                </c:pt>
                <c:pt idx="7">
                  <c:v>43839</c:v>
                </c:pt>
                <c:pt idx="8">
                  <c:v>43840</c:v>
                </c:pt>
                <c:pt idx="9">
                  <c:v>43843</c:v>
                </c:pt>
                <c:pt idx="10">
                  <c:v>43844</c:v>
                </c:pt>
                <c:pt idx="11">
                  <c:v>43845</c:v>
                </c:pt>
                <c:pt idx="12">
                  <c:v>43846</c:v>
                </c:pt>
                <c:pt idx="13">
                  <c:v>43847</c:v>
                </c:pt>
                <c:pt idx="14">
                  <c:v>43851</c:v>
                </c:pt>
                <c:pt idx="15">
                  <c:v>43852</c:v>
                </c:pt>
                <c:pt idx="16">
                  <c:v>43853</c:v>
                </c:pt>
                <c:pt idx="17">
                  <c:v>43854</c:v>
                </c:pt>
                <c:pt idx="18">
                  <c:v>43857</c:v>
                </c:pt>
                <c:pt idx="19">
                  <c:v>43858</c:v>
                </c:pt>
                <c:pt idx="20">
                  <c:v>43859</c:v>
                </c:pt>
                <c:pt idx="21">
                  <c:v>43860</c:v>
                </c:pt>
                <c:pt idx="22">
                  <c:v>43861</c:v>
                </c:pt>
                <c:pt idx="23">
                  <c:v>43864</c:v>
                </c:pt>
                <c:pt idx="24">
                  <c:v>43865</c:v>
                </c:pt>
                <c:pt idx="25">
                  <c:v>43866</c:v>
                </c:pt>
                <c:pt idx="26">
                  <c:v>43867</c:v>
                </c:pt>
                <c:pt idx="27">
                  <c:v>43868</c:v>
                </c:pt>
                <c:pt idx="28">
                  <c:v>43871</c:v>
                </c:pt>
                <c:pt idx="29">
                  <c:v>43872</c:v>
                </c:pt>
                <c:pt idx="30">
                  <c:v>43873</c:v>
                </c:pt>
                <c:pt idx="31">
                  <c:v>43874</c:v>
                </c:pt>
                <c:pt idx="32">
                  <c:v>43875</c:v>
                </c:pt>
                <c:pt idx="33">
                  <c:v>43879</c:v>
                </c:pt>
                <c:pt idx="34">
                  <c:v>43880</c:v>
                </c:pt>
                <c:pt idx="35">
                  <c:v>43881</c:v>
                </c:pt>
                <c:pt idx="36">
                  <c:v>43882</c:v>
                </c:pt>
                <c:pt idx="37">
                  <c:v>43885</c:v>
                </c:pt>
                <c:pt idx="38">
                  <c:v>43886</c:v>
                </c:pt>
                <c:pt idx="39">
                  <c:v>43887</c:v>
                </c:pt>
                <c:pt idx="40">
                  <c:v>43888</c:v>
                </c:pt>
                <c:pt idx="41">
                  <c:v>43889</c:v>
                </c:pt>
                <c:pt idx="42">
                  <c:v>43892</c:v>
                </c:pt>
                <c:pt idx="43">
                  <c:v>43893</c:v>
                </c:pt>
                <c:pt idx="44">
                  <c:v>43894</c:v>
                </c:pt>
                <c:pt idx="45">
                  <c:v>43895</c:v>
                </c:pt>
                <c:pt idx="46">
                  <c:v>43896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43906</c:v>
                </c:pt>
                <c:pt idx="53">
                  <c:v>43907</c:v>
                </c:pt>
                <c:pt idx="54">
                  <c:v>43908</c:v>
                </c:pt>
                <c:pt idx="55">
                  <c:v>43909</c:v>
                </c:pt>
                <c:pt idx="56">
                  <c:v>43910</c:v>
                </c:pt>
                <c:pt idx="57">
                  <c:v>43913</c:v>
                </c:pt>
                <c:pt idx="58">
                  <c:v>43914</c:v>
                </c:pt>
                <c:pt idx="59">
                  <c:v>43915</c:v>
                </c:pt>
                <c:pt idx="60">
                  <c:v>43916</c:v>
                </c:pt>
                <c:pt idx="61">
                  <c:v>43917</c:v>
                </c:pt>
                <c:pt idx="62">
                  <c:v>43920</c:v>
                </c:pt>
                <c:pt idx="63">
                  <c:v>43921</c:v>
                </c:pt>
                <c:pt idx="64">
                  <c:v>43922</c:v>
                </c:pt>
                <c:pt idx="65">
                  <c:v>43923</c:v>
                </c:pt>
                <c:pt idx="66">
                  <c:v>43924</c:v>
                </c:pt>
                <c:pt idx="67">
                  <c:v>43927</c:v>
                </c:pt>
                <c:pt idx="68">
                  <c:v>43928</c:v>
                </c:pt>
                <c:pt idx="69">
                  <c:v>43929</c:v>
                </c:pt>
                <c:pt idx="70">
                  <c:v>43930</c:v>
                </c:pt>
                <c:pt idx="71">
                  <c:v>43934</c:v>
                </c:pt>
                <c:pt idx="72">
                  <c:v>43935</c:v>
                </c:pt>
                <c:pt idx="73">
                  <c:v>43936</c:v>
                </c:pt>
                <c:pt idx="74">
                  <c:v>43937</c:v>
                </c:pt>
                <c:pt idx="75">
                  <c:v>43938</c:v>
                </c:pt>
                <c:pt idx="76">
                  <c:v>43941</c:v>
                </c:pt>
                <c:pt idx="77">
                  <c:v>43942</c:v>
                </c:pt>
                <c:pt idx="78">
                  <c:v>43943</c:v>
                </c:pt>
                <c:pt idx="79">
                  <c:v>43944</c:v>
                </c:pt>
                <c:pt idx="80">
                  <c:v>43945</c:v>
                </c:pt>
                <c:pt idx="81">
                  <c:v>43948</c:v>
                </c:pt>
                <c:pt idx="82">
                  <c:v>43949</c:v>
                </c:pt>
                <c:pt idx="83">
                  <c:v>43950</c:v>
                </c:pt>
                <c:pt idx="84">
                  <c:v>43951</c:v>
                </c:pt>
                <c:pt idx="85">
                  <c:v>43952</c:v>
                </c:pt>
                <c:pt idx="86">
                  <c:v>43955</c:v>
                </c:pt>
                <c:pt idx="87">
                  <c:v>43956</c:v>
                </c:pt>
                <c:pt idx="88">
                  <c:v>43957</c:v>
                </c:pt>
                <c:pt idx="89">
                  <c:v>43958</c:v>
                </c:pt>
                <c:pt idx="90">
                  <c:v>43959</c:v>
                </c:pt>
                <c:pt idx="91">
                  <c:v>43962</c:v>
                </c:pt>
                <c:pt idx="92">
                  <c:v>43963</c:v>
                </c:pt>
                <c:pt idx="93">
                  <c:v>43964</c:v>
                </c:pt>
                <c:pt idx="94">
                  <c:v>43965</c:v>
                </c:pt>
                <c:pt idx="95">
                  <c:v>43966</c:v>
                </c:pt>
                <c:pt idx="96">
                  <c:v>43969</c:v>
                </c:pt>
                <c:pt idx="97">
                  <c:v>43970</c:v>
                </c:pt>
                <c:pt idx="98">
                  <c:v>43971</c:v>
                </c:pt>
                <c:pt idx="99">
                  <c:v>43972</c:v>
                </c:pt>
                <c:pt idx="100">
                  <c:v>43973</c:v>
                </c:pt>
                <c:pt idx="101">
                  <c:v>43977</c:v>
                </c:pt>
                <c:pt idx="102">
                  <c:v>43978</c:v>
                </c:pt>
                <c:pt idx="103">
                  <c:v>43979</c:v>
                </c:pt>
                <c:pt idx="104">
                  <c:v>43980</c:v>
                </c:pt>
                <c:pt idx="105">
                  <c:v>43983</c:v>
                </c:pt>
                <c:pt idx="106">
                  <c:v>43984</c:v>
                </c:pt>
                <c:pt idx="107">
                  <c:v>43985</c:v>
                </c:pt>
                <c:pt idx="108">
                  <c:v>43986</c:v>
                </c:pt>
                <c:pt idx="109">
                  <c:v>43987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44011</c:v>
                </c:pt>
                <c:pt idx="126">
                  <c:v>44012</c:v>
                </c:pt>
                <c:pt idx="127">
                  <c:v>44013</c:v>
                </c:pt>
                <c:pt idx="128">
                  <c:v>44014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44046</c:v>
                </c:pt>
                <c:pt idx="150">
                  <c:v>44047</c:v>
                </c:pt>
                <c:pt idx="151">
                  <c:v>44048</c:v>
                </c:pt>
                <c:pt idx="152">
                  <c:v>44049</c:v>
                </c:pt>
                <c:pt idx="153">
                  <c:v>44050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44060</c:v>
                </c:pt>
                <c:pt idx="160">
                  <c:v>44061</c:v>
                </c:pt>
                <c:pt idx="161">
                  <c:v>44062</c:v>
                </c:pt>
                <c:pt idx="162">
                  <c:v>44063</c:v>
                </c:pt>
                <c:pt idx="163">
                  <c:v>44064</c:v>
                </c:pt>
                <c:pt idx="164">
                  <c:v>44067</c:v>
                </c:pt>
                <c:pt idx="165">
                  <c:v>44068</c:v>
                </c:pt>
                <c:pt idx="166">
                  <c:v>44069</c:v>
                </c:pt>
                <c:pt idx="167">
                  <c:v>44070</c:v>
                </c:pt>
                <c:pt idx="168">
                  <c:v>44071</c:v>
                </c:pt>
                <c:pt idx="169">
                  <c:v>44074</c:v>
                </c:pt>
                <c:pt idx="170">
                  <c:v>44075</c:v>
                </c:pt>
                <c:pt idx="171">
                  <c:v>44076</c:v>
                </c:pt>
                <c:pt idx="172">
                  <c:v>44077</c:v>
                </c:pt>
                <c:pt idx="173">
                  <c:v>44078</c:v>
                </c:pt>
                <c:pt idx="174">
                  <c:v>44082</c:v>
                </c:pt>
                <c:pt idx="175">
                  <c:v>44083</c:v>
                </c:pt>
                <c:pt idx="176">
                  <c:v>44084</c:v>
                </c:pt>
                <c:pt idx="177">
                  <c:v>44085</c:v>
                </c:pt>
                <c:pt idx="178">
                  <c:v>44088</c:v>
                </c:pt>
                <c:pt idx="179">
                  <c:v>44089</c:v>
                </c:pt>
                <c:pt idx="180">
                  <c:v>44090</c:v>
                </c:pt>
                <c:pt idx="181">
                  <c:v>44091</c:v>
                </c:pt>
                <c:pt idx="182">
                  <c:v>44092</c:v>
                </c:pt>
                <c:pt idx="183">
                  <c:v>44095</c:v>
                </c:pt>
                <c:pt idx="184">
                  <c:v>44096</c:v>
                </c:pt>
                <c:pt idx="185">
                  <c:v>44097</c:v>
                </c:pt>
                <c:pt idx="186">
                  <c:v>44098</c:v>
                </c:pt>
                <c:pt idx="187">
                  <c:v>44099</c:v>
                </c:pt>
                <c:pt idx="188">
                  <c:v>44102</c:v>
                </c:pt>
                <c:pt idx="189">
                  <c:v>44103</c:v>
                </c:pt>
                <c:pt idx="190">
                  <c:v>44104</c:v>
                </c:pt>
                <c:pt idx="191">
                  <c:v>44105</c:v>
                </c:pt>
                <c:pt idx="192">
                  <c:v>44106</c:v>
                </c:pt>
                <c:pt idx="193">
                  <c:v>44109</c:v>
                </c:pt>
                <c:pt idx="194">
                  <c:v>44110</c:v>
                </c:pt>
                <c:pt idx="195">
                  <c:v>44111</c:v>
                </c:pt>
                <c:pt idx="196">
                  <c:v>44112</c:v>
                </c:pt>
                <c:pt idx="197">
                  <c:v>44113</c:v>
                </c:pt>
                <c:pt idx="198">
                  <c:v>44116</c:v>
                </c:pt>
                <c:pt idx="199">
                  <c:v>44117</c:v>
                </c:pt>
                <c:pt idx="200">
                  <c:v>44118</c:v>
                </c:pt>
                <c:pt idx="201">
                  <c:v>44119</c:v>
                </c:pt>
                <c:pt idx="202">
                  <c:v>44120</c:v>
                </c:pt>
                <c:pt idx="203">
                  <c:v>44123</c:v>
                </c:pt>
                <c:pt idx="204">
                  <c:v>44124</c:v>
                </c:pt>
                <c:pt idx="205">
                  <c:v>44125</c:v>
                </c:pt>
                <c:pt idx="206">
                  <c:v>44126</c:v>
                </c:pt>
                <c:pt idx="207">
                  <c:v>44127</c:v>
                </c:pt>
                <c:pt idx="208">
                  <c:v>44130</c:v>
                </c:pt>
                <c:pt idx="209">
                  <c:v>44131</c:v>
                </c:pt>
                <c:pt idx="210">
                  <c:v>44132</c:v>
                </c:pt>
                <c:pt idx="211">
                  <c:v>44133</c:v>
                </c:pt>
                <c:pt idx="212">
                  <c:v>44134</c:v>
                </c:pt>
                <c:pt idx="213">
                  <c:v>44137</c:v>
                </c:pt>
                <c:pt idx="214">
                  <c:v>44138</c:v>
                </c:pt>
                <c:pt idx="215">
                  <c:v>44139</c:v>
                </c:pt>
                <c:pt idx="216">
                  <c:v>44140</c:v>
                </c:pt>
                <c:pt idx="217">
                  <c:v>44141</c:v>
                </c:pt>
                <c:pt idx="218">
                  <c:v>44144</c:v>
                </c:pt>
                <c:pt idx="219">
                  <c:v>44145</c:v>
                </c:pt>
                <c:pt idx="220">
                  <c:v>44146</c:v>
                </c:pt>
                <c:pt idx="221">
                  <c:v>44147</c:v>
                </c:pt>
                <c:pt idx="222">
                  <c:v>44148</c:v>
                </c:pt>
                <c:pt idx="223">
                  <c:v>44151</c:v>
                </c:pt>
                <c:pt idx="224">
                  <c:v>44152</c:v>
                </c:pt>
                <c:pt idx="225">
                  <c:v>44153</c:v>
                </c:pt>
                <c:pt idx="226">
                  <c:v>44154</c:v>
                </c:pt>
                <c:pt idx="227">
                  <c:v>44155</c:v>
                </c:pt>
                <c:pt idx="228">
                  <c:v>44158</c:v>
                </c:pt>
                <c:pt idx="229">
                  <c:v>44159</c:v>
                </c:pt>
                <c:pt idx="230">
                  <c:v>44160</c:v>
                </c:pt>
                <c:pt idx="231">
                  <c:v>44162</c:v>
                </c:pt>
                <c:pt idx="232">
                  <c:v>44165</c:v>
                </c:pt>
                <c:pt idx="233">
                  <c:v>44166</c:v>
                </c:pt>
                <c:pt idx="234">
                  <c:v>44167</c:v>
                </c:pt>
                <c:pt idx="235">
                  <c:v>44168</c:v>
                </c:pt>
                <c:pt idx="236">
                  <c:v>44169</c:v>
                </c:pt>
                <c:pt idx="237">
                  <c:v>44172</c:v>
                </c:pt>
                <c:pt idx="238">
                  <c:v>44173</c:v>
                </c:pt>
                <c:pt idx="239">
                  <c:v>44174</c:v>
                </c:pt>
                <c:pt idx="240">
                  <c:v>44175</c:v>
                </c:pt>
                <c:pt idx="241">
                  <c:v>44176</c:v>
                </c:pt>
                <c:pt idx="242">
                  <c:v>44179</c:v>
                </c:pt>
                <c:pt idx="243">
                  <c:v>44180</c:v>
                </c:pt>
                <c:pt idx="244">
                  <c:v>44181</c:v>
                </c:pt>
                <c:pt idx="245">
                  <c:v>44182</c:v>
                </c:pt>
                <c:pt idx="246">
                  <c:v>44183</c:v>
                </c:pt>
                <c:pt idx="247">
                  <c:v>44186</c:v>
                </c:pt>
                <c:pt idx="248">
                  <c:v>44187</c:v>
                </c:pt>
                <c:pt idx="249">
                  <c:v>44188</c:v>
                </c:pt>
                <c:pt idx="250">
                  <c:v>44189</c:v>
                </c:pt>
                <c:pt idx="251">
                  <c:v>44193</c:v>
                </c:pt>
                <c:pt idx="252">
                  <c:v>44194</c:v>
                </c:pt>
                <c:pt idx="253">
                  <c:v>44195</c:v>
                </c:pt>
                <c:pt idx="254">
                  <c:v>44196</c:v>
                </c:pt>
                <c:pt idx="255">
                  <c:v>44200</c:v>
                </c:pt>
                <c:pt idx="256">
                  <c:v>44201</c:v>
                </c:pt>
                <c:pt idx="257">
                  <c:v>44202</c:v>
                </c:pt>
                <c:pt idx="258">
                  <c:v>44203</c:v>
                </c:pt>
                <c:pt idx="259">
                  <c:v>44204</c:v>
                </c:pt>
                <c:pt idx="260">
                  <c:v>44207</c:v>
                </c:pt>
                <c:pt idx="261">
                  <c:v>44208</c:v>
                </c:pt>
                <c:pt idx="262">
                  <c:v>44209</c:v>
                </c:pt>
                <c:pt idx="263">
                  <c:v>44210</c:v>
                </c:pt>
                <c:pt idx="264">
                  <c:v>44211</c:v>
                </c:pt>
                <c:pt idx="265">
                  <c:v>44215</c:v>
                </c:pt>
                <c:pt idx="266">
                  <c:v>44216</c:v>
                </c:pt>
                <c:pt idx="267">
                  <c:v>44217</c:v>
                </c:pt>
                <c:pt idx="268">
                  <c:v>44218</c:v>
                </c:pt>
                <c:pt idx="269">
                  <c:v>44221</c:v>
                </c:pt>
                <c:pt idx="270">
                  <c:v>44222</c:v>
                </c:pt>
                <c:pt idx="271">
                  <c:v>44223</c:v>
                </c:pt>
                <c:pt idx="272">
                  <c:v>44224</c:v>
                </c:pt>
                <c:pt idx="273">
                  <c:v>44225</c:v>
                </c:pt>
                <c:pt idx="274">
                  <c:v>44228</c:v>
                </c:pt>
                <c:pt idx="275">
                  <c:v>44229</c:v>
                </c:pt>
                <c:pt idx="276">
                  <c:v>44230</c:v>
                </c:pt>
                <c:pt idx="277">
                  <c:v>44231</c:v>
                </c:pt>
                <c:pt idx="278">
                  <c:v>44232</c:v>
                </c:pt>
                <c:pt idx="279">
                  <c:v>44235</c:v>
                </c:pt>
                <c:pt idx="280">
                  <c:v>44236</c:v>
                </c:pt>
                <c:pt idx="281">
                  <c:v>44237</c:v>
                </c:pt>
                <c:pt idx="282">
                  <c:v>44238</c:v>
                </c:pt>
                <c:pt idx="283">
                  <c:v>44239</c:v>
                </c:pt>
                <c:pt idx="284">
                  <c:v>44243</c:v>
                </c:pt>
                <c:pt idx="285">
                  <c:v>44244</c:v>
                </c:pt>
                <c:pt idx="286">
                  <c:v>44245</c:v>
                </c:pt>
                <c:pt idx="287">
                  <c:v>44246</c:v>
                </c:pt>
                <c:pt idx="288">
                  <c:v>44249</c:v>
                </c:pt>
                <c:pt idx="289">
                  <c:v>44250</c:v>
                </c:pt>
                <c:pt idx="290">
                  <c:v>44251</c:v>
                </c:pt>
                <c:pt idx="291">
                  <c:v>44252</c:v>
                </c:pt>
                <c:pt idx="292">
                  <c:v>44253</c:v>
                </c:pt>
                <c:pt idx="293">
                  <c:v>44256</c:v>
                </c:pt>
                <c:pt idx="294">
                  <c:v>44257</c:v>
                </c:pt>
                <c:pt idx="295">
                  <c:v>44258</c:v>
                </c:pt>
                <c:pt idx="296">
                  <c:v>44259</c:v>
                </c:pt>
                <c:pt idx="297">
                  <c:v>44260</c:v>
                </c:pt>
                <c:pt idx="298">
                  <c:v>44263</c:v>
                </c:pt>
                <c:pt idx="299">
                  <c:v>44264</c:v>
                </c:pt>
                <c:pt idx="300">
                  <c:v>44265</c:v>
                </c:pt>
                <c:pt idx="301">
                  <c:v>44266</c:v>
                </c:pt>
                <c:pt idx="302">
                  <c:v>44267</c:v>
                </c:pt>
                <c:pt idx="303">
                  <c:v>44270</c:v>
                </c:pt>
                <c:pt idx="304">
                  <c:v>44271</c:v>
                </c:pt>
                <c:pt idx="305">
                  <c:v>44272</c:v>
                </c:pt>
                <c:pt idx="306">
                  <c:v>44273</c:v>
                </c:pt>
                <c:pt idx="307">
                  <c:v>44274</c:v>
                </c:pt>
                <c:pt idx="308">
                  <c:v>44277</c:v>
                </c:pt>
                <c:pt idx="309">
                  <c:v>44278</c:v>
                </c:pt>
                <c:pt idx="310">
                  <c:v>44279</c:v>
                </c:pt>
                <c:pt idx="311">
                  <c:v>44280</c:v>
                </c:pt>
                <c:pt idx="312">
                  <c:v>44281</c:v>
                </c:pt>
                <c:pt idx="313">
                  <c:v>44284</c:v>
                </c:pt>
                <c:pt idx="314">
                  <c:v>44285</c:v>
                </c:pt>
                <c:pt idx="315">
                  <c:v>44286</c:v>
                </c:pt>
                <c:pt idx="316">
                  <c:v>44287</c:v>
                </c:pt>
                <c:pt idx="317">
                  <c:v>44291</c:v>
                </c:pt>
                <c:pt idx="318">
                  <c:v>44292</c:v>
                </c:pt>
                <c:pt idx="319">
                  <c:v>44293</c:v>
                </c:pt>
                <c:pt idx="320">
                  <c:v>44294</c:v>
                </c:pt>
                <c:pt idx="321">
                  <c:v>44295</c:v>
                </c:pt>
                <c:pt idx="322">
                  <c:v>44298</c:v>
                </c:pt>
                <c:pt idx="323">
                  <c:v>44299</c:v>
                </c:pt>
                <c:pt idx="324">
                  <c:v>44300</c:v>
                </c:pt>
                <c:pt idx="325">
                  <c:v>44301</c:v>
                </c:pt>
                <c:pt idx="326">
                  <c:v>44302</c:v>
                </c:pt>
                <c:pt idx="327">
                  <c:v>44305</c:v>
                </c:pt>
                <c:pt idx="328">
                  <c:v>44306</c:v>
                </c:pt>
                <c:pt idx="329">
                  <c:v>44307</c:v>
                </c:pt>
                <c:pt idx="330">
                  <c:v>44308</c:v>
                </c:pt>
                <c:pt idx="331">
                  <c:v>44309</c:v>
                </c:pt>
                <c:pt idx="332">
                  <c:v>44312</c:v>
                </c:pt>
                <c:pt idx="333">
                  <c:v>44313</c:v>
                </c:pt>
                <c:pt idx="334">
                  <c:v>44314</c:v>
                </c:pt>
                <c:pt idx="335">
                  <c:v>44315</c:v>
                </c:pt>
                <c:pt idx="336">
                  <c:v>44316</c:v>
                </c:pt>
                <c:pt idx="337">
                  <c:v>44319</c:v>
                </c:pt>
                <c:pt idx="338">
                  <c:v>44320</c:v>
                </c:pt>
                <c:pt idx="339">
                  <c:v>44321</c:v>
                </c:pt>
                <c:pt idx="340">
                  <c:v>44322</c:v>
                </c:pt>
                <c:pt idx="341">
                  <c:v>44323</c:v>
                </c:pt>
                <c:pt idx="342">
                  <c:v>44326</c:v>
                </c:pt>
                <c:pt idx="343">
                  <c:v>44327</c:v>
                </c:pt>
                <c:pt idx="344">
                  <c:v>44328</c:v>
                </c:pt>
                <c:pt idx="345">
                  <c:v>44329</c:v>
                </c:pt>
                <c:pt idx="346">
                  <c:v>44330</c:v>
                </c:pt>
                <c:pt idx="347">
                  <c:v>44333</c:v>
                </c:pt>
                <c:pt idx="348">
                  <c:v>44334</c:v>
                </c:pt>
                <c:pt idx="349">
                  <c:v>44335</c:v>
                </c:pt>
                <c:pt idx="350">
                  <c:v>44336</c:v>
                </c:pt>
                <c:pt idx="351">
                  <c:v>44337</c:v>
                </c:pt>
                <c:pt idx="352">
                  <c:v>44340</c:v>
                </c:pt>
                <c:pt idx="353">
                  <c:v>44341</c:v>
                </c:pt>
                <c:pt idx="354">
                  <c:v>44342</c:v>
                </c:pt>
                <c:pt idx="355">
                  <c:v>44343</c:v>
                </c:pt>
                <c:pt idx="356">
                  <c:v>44344</c:v>
                </c:pt>
                <c:pt idx="357">
                  <c:v>44348</c:v>
                </c:pt>
                <c:pt idx="358">
                  <c:v>44349</c:v>
                </c:pt>
                <c:pt idx="359">
                  <c:v>44350</c:v>
                </c:pt>
                <c:pt idx="360">
                  <c:v>44351</c:v>
                </c:pt>
                <c:pt idx="361">
                  <c:v>44354</c:v>
                </c:pt>
                <c:pt idx="362">
                  <c:v>44355</c:v>
                </c:pt>
                <c:pt idx="363">
                  <c:v>44356</c:v>
                </c:pt>
                <c:pt idx="364">
                  <c:v>44357</c:v>
                </c:pt>
                <c:pt idx="365">
                  <c:v>44358</c:v>
                </c:pt>
                <c:pt idx="366">
                  <c:v>44361</c:v>
                </c:pt>
                <c:pt idx="367">
                  <c:v>44362</c:v>
                </c:pt>
                <c:pt idx="368">
                  <c:v>44363</c:v>
                </c:pt>
                <c:pt idx="369">
                  <c:v>44364</c:v>
                </c:pt>
                <c:pt idx="370">
                  <c:v>44365</c:v>
                </c:pt>
                <c:pt idx="371">
                  <c:v>44368</c:v>
                </c:pt>
                <c:pt idx="372">
                  <c:v>44369</c:v>
                </c:pt>
                <c:pt idx="373">
                  <c:v>44370</c:v>
                </c:pt>
                <c:pt idx="374">
                  <c:v>44371</c:v>
                </c:pt>
                <c:pt idx="375">
                  <c:v>44372</c:v>
                </c:pt>
                <c:pt idx="376">
                  <c:v>44375</c:v>
                </c:pt>
                <c:pt idx="377">
                  <c:v>44376</c:v>
                </c:pt>
                <c:pt idx="378">
                  <c:v>44377</c:v>
                </c:pt>
                <c:pt idx="379">
                  <c:v>44378</c:v>
                </c:pt>
                <c:pt idx="380">
                  <c:v>44379</c:v>
                </c:pt>
                <c:pt idx="381">
                  <c:v>44383</c:v>
                </c:pt>
                <c:pt idx="382">
                  <c:v>44384</c:v>
                </c:pt>
                <c:pt idx="383">
                  <c:v>44385</c:v>
                </c:pt>
                <c:pt idx="384">
                  <c:v>44386</c:v>
                </c:pt>
                <c:pt idx="385">
                  <c:v>44389</c:v>
                </c:pt>
                <c:pt idx="386">
                  <c:v>44390</c:v>
                </c:pt>
                <c:pt idx="387">
                  <c:v>44391</c:v>
                </c:pt>
                <c:pt idx="388">
                  <c:v>44392</c:v>
                </c:pt>
                <c:pt idx="389">
                  <c:v>44393</c:v>
                </c:pt>
                <c:pt idx="390">
                  <c:v>44396</c:v>
                </c:pt>
                <c:pt idx="391">
                  <c:v>44397</c:v>
                </c:pt>
                <c:pt idx="392">
                  <c:v>44398</c:v>
                </c:pt>
                <c:pt idx="393">
                  <c:v>44399</c:v>
                </c:pt>
                <c:pt idx="394">
                  <c:v>44400</c:v>
                </c:pt>
                <c:pt idx="395">
                  <c:v>44403</c:v>
                </c:pt>
                <c:pt idx="396">
                  <c:v>44404</c:v>
                </c:pt>
                <c:pt idx="397">
                  <c:v>44405</c:v>
                </c:pt>
                <c:pt idx="398">
                  <c:v>44406</c:v>
                </c:pt>
                <c:pt idx="399">
                  <c:v>44407</c:v>
                </c:pt>
                <c:pt idx="400">
                  <c:v>44410</c:v>
                </c:pt>
                <c:pt idx="401">
                  <c:v>44411</c:v>
                </c:pt>
                <c:pt idx="402">
                  <c:v>44412</c:v>
                </c:pt>
                <c:pt idx="403">
                  <c:v>44413</c:v>
                </c:pt>
                <c:pt idx="404">
                  <c:v>44414</c:v>
                </c:pt>
                <c:pt idx="405">
                  <c:v>44417</c:v>
                </c:pt>
                <c:pt idx="406">
                  <c:v>44418</c:v>
                </c:pt>
                <c:pt idx="407">
                  <c:v>44419</c:v>
                </c:pt>
                <c:pt idx="408">
                  <c:v>44420</c:v>
                </c:pt>
                <c:pt idx="409">
                  <c:v>44421</c:v>
                </c:pt>
                <c:pt idx="410">
                  <c:v>44424</c:v>
                </c:pt>
                <c:pt idx="411">
                  <c:v>44425</c:v>
                </c:pt>
                <c:pt idx="412">
                  <c:v>44426</c:v>
                </c:pt>
                <c:pt idx="413">
                  <c:v>44427</c:v>
                </c:pt>
                <c:pt idx="414">
                  <c:v>44428</c:v>
                </c:pt>
                <c:pt idx="415">
                  <c:v>44431</c:v>
                </c:pt>
                <c:pt idx="416">
                  <c:v>44432</c:v>
                </c:pt>
                <c:pt idx="417">
                  <c:v>44433</c:v>
                </c:pt>
                <c:pt idx="418">
                  <c:v>44434</c:v>
                </c:pt>
                <c:pt idx="419">
                  <c:v>44435</c:v>
                </c:pt>
                <c:pt idx="420">
                  <c:v>44438</c:v>
                </c:pt>
                <c:pt idx="421">
                  <c:v>44439</c:v>
                </c:pt>
                <c:pt idx="422">
                  <c:v>44440</c:v>
                </c:pt>
                <c:pt idx="423">
                  <c:v>44441</c:v>
                </c:pt>
                <c:pt idx="424">
                  <c:v>44442</c:v>
                </c:pt>
                <c:pt idx="425">
                  <c:v>44446</c:v>
                </c:pt>
                <c:pt idx="426">
                  <c:v>44447</c:v>
                </c:pt>
                <c:pt idx="427">
                  <c:v>44448</c:v>
                </c:pt>
                <c:pt idx="428">
                  <c:v>44449</c:v>
                </c:pt>
                <c:pt idx="429">
                  <c:v>44452</c:v>
                </c:pt>
                <c:pt idx="430">
                  <c:v>44453</c:v>
                </c:pt>
                <c:pt idx="431">
                  <c:v>44454</c:v>
                </c:pt>
                <c:pt idx="432">
                  <c:v>44455</c:v>
                </c:pt>
                <c:pt idx="433">
                  <c:v>44456</c:v>
                </c:pt>
                <c:pt idx="434">
                  <c:v>44459</c:v>
                </c:pt>
                <c:pt idx="435">
                  <c:v>44460</c:v>
                </c:pt>
                <c:pt idx="436">
                  <c:v>44461</c:v>
                </c:pt>
                <c:pt idx="437">
                  <c:v>44462</c:v>
                </c:pt>
                <c:pt idx="438">
                  <c:v>44463</c:v>
                </c:pt>
                <c:pt idx="439">
                  <c:v>44466</c:v>
                </c:pt>
                <c:pt idx="440">
                  <c:v>44467</c:v>
                </c:pt>
                <c:pt idx="441">
                  <c:v>44468</c:v>
                </c:pt>
                <c:pt idx="442">
                  <c:v>44469</c:v>
                </c:pt>
                <c:pt idx="443">
                  <c:v>44470</c:v>
                </c:pt>
                <c:pt idx="444">
                  <c:v>44473</c:v>
                </c:pt>
                <c:pt idx="445">
                  <c:v>44474</c:v>
                </c:pt>
                <c:pt idx="446">
                  <c:v>44475</c:v>
                </c:pt>
                <c:pt idx="447">
                  <c:v>44476</c:v>
                </c:pt>
                <c:pt idx="448">
                  <c:v>44477</c:v>
                </c:pt>
                <c:pt idx="449">
                  <c:v>44480</c:v>
                </c:pt>
                <c:pt idx="450">
                  <c:v>44481</c:v>
                </c:pt>
                <c:pt idx="451">
                  <c:v>44482</c:v>
                </c:pt>
                <c:pt idx="452">
                  <c:v>44483</c:v>
                </c:pt>
                <c:pt idx="453">
                  <c:v>44484</c:v>
                </c:pt>
                <c:pt idx="454">
                  <c:v>44487</c:v>
                </c:pt>
                <c:pt idx="455">
                  <c:v>44488</c:v>
                </c:pt>
                <c:pt idx="456">
                  <c:v>44489</c:v>
                </c:pt>
                <c:pt idx="457">
                  <c:v>44490</c:v>
                </c:pt>
                <c:pt idx="458">
                  <c:v>44491</c:v>
                </c:pt>
                <c:pt idx="459">
                  <c:v>44494</c:v>
                </c:pt>
                <c:pt idx="460">
                  <c:v>44495</c:v>
                </c:pt>
                <c:pt idx="461">
                  <c:v>44496</c:v>
                </c:pt>
                <c:pt idx="462">
                  <c:v>44497</c:v>
                </c:pt>
                <c:pt idx="463">
                  <c:v>44498</c:v>
                </c:pt>
                <c:pt idx="464">
                  <c:v>44501</c:v>
                </c:pt>
                <c:pt idx="465">
                  <c:v>44502</c:v>
                </c:pt>
                <c:pt idx="466">
                  <c:v>44503</c:v>
                </c:pt>
                <c:pt idx="467">
                  <c:v>44504</c:v>
                </c:pt>
                <c:pt idx="468">
                  <c:v>44505</c:v>
                </c:pt>
                <c:pt idx="469">
                  <c:v>44508</c:v>
                </c:pt>
                <c:pt idx="470">
                  <c:v>44509</c:v>
                </c:pt>
                <c:pt idx="471">
                  <c:v>44510</c:v>
                </c:pt>
                <c:pt idx="472">
                  <c:v>44511</c:v>
                </c:pt>
                <c:pt idx="473">
                  <c:v>44512</c:v>
                </c:pt>
                <c:pt idx="474">
                  <c:v>44515</c:v>
                </c:pt>
                <c:pt idx="475">
                  <c:v>44516</c:v>
                </c:pt>
                <c:pt idx="476">
                  <c:v>44517</c:v>
                </c:pt>
                <c:pt idx="477">
                  <c:v>44518</c:v>
                </c:pt>
                <c:pt idx="478">
                  <c:v>44519</c:v>
                </c:pt>
                <c:pt idx="479">
                  <c:v>44522</c:v>
                </c:pt>
                <c:pt idx="480">
                  <c:v>44523</c:v>
                </c:pt>
                <c:pt idx="481">
                  <c:v>44524</c:v>
                </c:pt>
                <c:pt idx="482">
                  <c:v>44526</c:v>
                </c:pt>
                <c:pt idx="483">
                  <c:v>44529</c:v>
                </c:pt>
                <c:pt idx="484">
                  <c:v>44530</c:v>
                </c:pt>
                <c:pt idx="485">
                  <c:v>44531</c:v>
                </c:pt>
                <c:pt idx="486">
                  <c:v>44532</c:v>
                </c:pt>
                <c:pt idx="487">
                  <c:v>44533</c:v>
                </c:pt>
                <c:pt idx="488">
                  <c:v>44536</c:v>
                </c:pt>
                <c:pt idx="489">
                  <c:v>44537</c:v>
                </c:pt>
                <c:pt idx="490">
                  <c:v>44538</c:v>
                </c:pt>
                <c:pt idx="491">
                  <c:v>44539</c:v>
                </c:pt>
                <c:pt idx="492">
                  <c:v>44540</c:v>
                </c:pt>
                <c:pt idx="493">
                  <c:v>44543</c:v>
                </c:pt>
                <c:pt idx="494">
                  <c:v>44544</c:v>
                </c:pt>
                <c:pt idx="495">
                  <c:v>44545</c:v>
                </c:pt>
                <c:pt idx="496">
                  <c:v>44546</c:v>
                </c:pt>
                <c:pt idx="497">
                  <c:v>44547</c:v>
                </c:pt>
                <c:pt idx="498">
                  <c:v>44550</c:v>
                </c:pt>
                <c:pt idx="499">
                  <c:v>44551</c:v>
                </c:pt>
                <c:pt idx="500">
                  <c:v>44552</c:v>
                </c:pt>
                <c:pt idx="501">
                  <c:v>44553</c:v>
                </c:pt>
                <c:pt idx="502">
                  <c:v>44557</c:v>
                </c:pt>
                <c:pt idx="503">
                  <c:v>44558</c:v>
                </c:pt>
                <c:pt idx="504">
                  <c:v>44559</c:v>
                </c:pt>
                <c:pt idx="505">
                  <c:v>44560</c:v>
                </c:pt>
                <c:pt idx="506">
                  <c:v>44561</c:v>
                </c:pt>
                <c:pt idx="507">
                  <c:v>44564</c:v>
                </c:pt>
                <c:pt idx="508">
                  <c:v>44565</c:v>
                </c:pt>
                <c:pt idx="509">
                  <c:v>44566</c:v>
                </c:pt>
                <c:pt idx="510">
                  <c:v>44567</c:v>
                </c:pt>
                <c:pt idx="511">
                  <c:v>44568</c:v>
                </c:pt>
                <c:pt idx="512">
                  <c:v>44571</c:v>
                </c:pt>
                <c:pt idx="513">
                  <c:v>44572</c:v>
                </c:pt>
                <c:pt idx="514">
                  <c:v>44573</c:v>
                </c:pt>
                <c:pt idx="515">
                  <c:v>44574</c:v>
                </c:pt>
                <c:pt idx="516">
                  <c:v>44575</c:v>
                </c:pt>
                <c:pt idx="517">
                  <c:v>44579</c:v>
                </c:pt>
                <c:pt idx="518">
                  <c:v>44580</c:v>
                </c:pt>
                <c:pt idx="519">
                  <c:v>44581</c:v>
                </c:pt>
                <c:pt idx="520">
                  <c:v>44582</c:v>
                </c:pt>
                <c:pt idx="521">
                  <c:v>44585</c:v>
                </c:pt>
                <c:pt idx="522">
                  <c:v>44586</c:v>
                </c:pt>
                <c:pt idx="523">
                  <c:v>44587</c:v>
                </c:pt>
                <c:pt idx="524">
                  <c:v>44588</c:v>
                </c:pt>
                <c:pt idx="525">
                  <c:v>44589</c:v>
                </c:pt>
                <c:pt idx="526">
                  <c:v>44592</c:v>
                </c:pt>
                <c:pt idx="527">
                  <c:v>44593</c:v>
                </c:pt>
                <c:pt idx="528">
                  <c:v>44594</c:v>
                </c:pt>
                <c:pt idx="529">
                  <c:v>44595</c:v>
                </c:pt>
                <c:pt idx="530">
                  <c:v>44596</c:v>
                </c:pt>
                <c:pt idx="531">
                  <c:v>44599</c:v>
                </c:pt>
                <c:pt idx="532">
                  <c:v>44600</c:v>
                </c:pt>
                <c:pt idx="533">
                  <c:v>44601</c:v>
                </c:pt>
                <c:pt idx="534">
                  <c:v>44602</c:v>
                </c:pt>
                <c:pt idx="535">
                  <c:v>44603</c:v>
                </c:pt>
                <c:pt idx="536">
                  <c:v>44606</c:v>
                </c:pt>
                <c:pt idx="537">
                  <c:v>44607</c:v>
                </c:pt>
                <c:pt idx="538">
                  <c:v>44608</c:v>
                </c:pt>
                <c:pt idx="539">
                  <c:v>44609</c:v>
                </c:pt>
                <c:pt idx="540">
                  <c:v>44610</c:v>
                </c:pt>
                <c:pt idx="541">
                  <c:v>44614</c:v>
                </c:pt>
                <c:pt idx="542">
                  <c:v>44615</c:v>
                </c:pt>
                <c:pt idx="543">
                  <c:v>44616</c:v>
                </c:pt>
                <c:pt idx="544">
                  <c:v>44617</c:v>
                </c:pt>
                <c:pt idx="545">
                  <c:v>44620</c:v>
                </c:pt>
                <c:pt idx="546">
                  <c:v>44621</c:v>
                </c:pt>
                <c:pt idx="547">
                  <c:v>44622</c:v>
                </c:pt>
                <c:pt idx="548">
                  <c:v>44623</c:v>
                </c:pt>
                <c:pt idx="549">
                  <c:v>44624</c:v>
                </c:pt>
                <c:pt idx="550">
                  <c:v>44627</c:v>
                </c:pt>
                <c:pt idx="551">
                  <c:v>44628</c:v>
                </c:pt>
                <c:pt idx="552">
                  <c:v>44629</c:v>
                </c:pt>
                <c:pt idx="553">
                  <c:v>44630</c:v>
                </c:pt>
                <c:pt idx="554">
                  <c:v>44631</c:v>
                </c:pt>
                <c:pt idx="555">
                  <c:v>44634</c:v>
                </c:pt>
                <c:pt idx="556">
                  <c:v>44635</c:v>
                </c:pt>
                <c:pt idx="557">
                  <c:v>44636</c:v>
                </c:pt>
                <c:pt idx="558">
                  <c:v>44637</c:v>
                </c:pt>
                <c:pt idx="559">
                  <c:v>44638</c:v>
                </c:pt>
                <c:pt idx="560">
                  <c:v>44641</c:v>
                </c:pt>
                <c:pt idx="561">
                  <c:v>44642</c:v>
                </c:pt>
                <c:pt idx="562">
                  <c:v>44643</c:v>
                </c:pt>
                <c:pt idx="563">
                  <c:v>44644</c:v>
                </c:pt>
                <c:pt idx="564">
                  <c:v>44645</c:v>
                </c:pt>
                <c:pt idx="565">
                  <c:v>44648</c:v>
                </c:pt>
                <c:pt idx="566">
                  <c:v>44649</c:v>
                </c:pt>
                <c:pt idx="567">
                  <c:v>44650</c:v>
                </c:pt>
                <c:pt idx="568">
                  <c:v>44651</c:v>
                </c:pt>
                <c:pt idx="569">
                  <c:v>44652</c:v>
                </c:pt>
                <c:pt idx="570">
                  <c:v>44655</c:v>
                </c:pt>
                <c:pt idx="571">
                  <c:v>44656</c:v>
                </c:pt>
                <c:pt idx="572">
                  <c:v>44657</c:v>
                </c:pt>
                <c:pt idx="573">
                  <c:v>44658</c:v>
                </c:pt>
                <c:pt idx="574">
                  <c:v>44659</c:v>
                </c:pt>
                <c:pt idx="575">
                  <c:v>44662</c:v>
                </c:pt>
                <c:pt idx="576">
                  <c:v>44663</c:v>
                </c:pt>
                <c:pt idx="577">
                  <c:v>44664</c:v>
                </c:pt>
                <c:pt idx="578">
                  <c:v>44665</c:v>
                </c:pt>
                <c:pt idx="579">
                  <c:v>44669</c:v>
                </c:pt>
                <c:pt idx="580">
                  <c:v>44670</c:v>
                </c:pt>
                <c:pt idx="581">
                  <c:v>44671</c:v>
                </c:pt>
                <c:pt idx="582">
                  <c:v>44672</c:v>
                </c:pt>
                <c:pt idx="583">
                  <c:v>44673</c:v>
                </c:pt>
                <c:pt idx="584">
                  <c:v>44676</c:v>
                </c:pt>
                <c:pt idx="585">
                  <c:v>44677</c:v>
                </c:pt>
                <c:pt idx="586">
                  <c:v>44678</c:v>
                </c:pt>
                <c:pt idx="587">
                  <c:v>44679</c:v>
                </c:pt>
                <c:pt idx="588">
                  <c:v>44680</c:v>
                </c:pt>
                <c:pt idx="589">
                  <c:v>44683</c:v>
                </c:pt>
                <c:pt idx="590">
                  <c:v>44684</c:v>
                </c:pt>
                <c:pt idx="591">
                  <c:v>44685</c:v>
                </c:pt>
                <c:pt idx="592">
                  <c:v>44686</c:v>
                </c:pt>
                <c:pt idx="593">
                  <c:v>44687</c:v>
                </c:pt>
                <c:pt idx="594">
                  <c:v>44690</c:v>
                </c:pt>
                <c:pt idx="595">
                  <c:v>44691</c:v>
                </c:pt>
                <c:pt idx="596">
                  <c:v>44692</c:v>
                </c:pt>
                <c:pt idx="597">
                  <c:v>44693</c:v>
                </c:pt>
                <c:pt idx="598">
                  <c:v>44694</c:v>
                </c:pt>
                <c:pt idx="599">
                  <c:v>44697</c:v>
                </c:pt>
                <c:pt idx="600">
                  <c:v>44698</c:v>
                </c:pt>
                <c:pt idx="601">
                  <c:v>44699</c:v>
                </c:pt>
                <c:pt idx="602">
                  <c:v>44700</c:v>
                </c:pt>
                <c:pt idx="603">
                  <c:v>44701</c:v>
                </c:pt>
                <c:pt idx="604">
                  <c:v>44704</c:v>
                </c:pt>
                <c:pt idx="605">
                  <c:v>44705</c:v>
                </c:pt>
                <c:pt idx="606">
                  <c:v>44706</c:v>
                </c:pt>
                <c:pt idx="607">
                  <c:v>44707</c:v>
                </c:pt>
                <c:pt idx="608">
                  <c:v>44708</c:v>
                </c:pt>
                <c:pt idx="609">
                  <c:v>44712</c:v>
                </c:pt>
                <c:pt idx="610">
                  <c:v>44713</c:v>
                </c:pt>
                <c:pt idx="611">
                  <c:v>44714</c:v>
                </c:pt>
                <c:pt idx="612">
                  <c:v>44715</c:v>
                </c:pt>
                <c:pt idx="613">
                  <c:v>44718</c:v>
                </c:pt>
                <c:pt idx="614">
                  <c:v>44719</c:v>
                </c:pt>
                <c:pt idx="615">
                  <c:v>44720</c:v>
                </c:pt>
                <c:pt idx="616">
                  <c:v>44721</c:v>
                </c:pt>
                <c:pt idx="617">
                  <c:v>44722</c:v>
                </c:pt>
                <c:pt idx="618">
                  <c:v>44725</c:v>
                </c:pt>
                <c:pt idx="619">
                  <c:v>44726</c:v>
                </c:pt>
                <c:pt idx="620">
                  <c:v>44727</c:v>
                </c:pt>
                <c:pt idx="621">
                  <c:v>44728</c:v>
                </c:pt>
                <c:pt idx="622">
                  <c:v>44729</c:v>
                </c:pt>
                <c:pt idx="623">
                  <c:v>44733</c:v>
                </c:pt>
                <c:pt idx="624">
                  <c:v>44734</c:v>
                </c:pt>
                <c:pt idx="625">
                  <c:v>44735</c:v>
                </c:pt>
                <c:pt idx="626">
                  <c:v>44736</c:v>
                </c:pt>
                <c:pt idx="627">
                  <c:v>44739</c:v>
                </c:pt>
                <c:pt idx="628">
                  <c:v>44740</c:v>
                </c:pt>
                <c:pt idx="629">
                  <c:v>44741</c:v>
                </c:pt>
                <c:pt idx="630">
                  <c:v>44742</c:v>
                </c:pt>
                <c:pt idx="631">
                  <c:v>44743</c:v>
                </c:pt>
                <c:pt idx="632">
                  <c:v>44747</c:v>
                </c:pt>
                <c:pt idx="633">
                  <c:v>44748</c:v>
                </c:pt>
                <c:pt idx="634">
                  <c:v>44749</c:v>
                </c:pt>
                <c:pt idx="635">
                  <c:v>44750</c:v>
                </c:pt>
                <c:pt idx="636">
                  <c:v>44753</c:v>
                </c:pt>
                <c:pt idx="637">
                  <c:v>44754</c:v>
                </c:pt>
                <c:pt idx="638">
                  <c:v>44755</c:v>
                </c:pt>
                <c:pt idx="639">
                  <c:v>44756</c:v>
                </c:pt>
                <c:pt idx="640">
                  <c:v>44757</c:v>
                </c:pt>
                <c:pt idx="641">
                  <c:v>44760</c:v>
                </c:pt>
                <c:pt idx="642">
                  <c:v>44761</c:v>
                </c:pt>
                <c:pt idx="643">
                  <c:v>44762</c:v>
                </c:pt>
                <c:pt idx="644">
                  <c:v>44763</c:v>
                </c:pt>
                <c:pt idx="645">
                  <c:v>44764</c:v>
                </c:pt>
                <c:pt idx="646">
                  <c:v>44767</c:v>
                </c:pt>
                <c:pt idx="647">
                  <c:v>44768</c:v>
                </c:pt>
                <c:pt idx="648">
                  <c:v>44769</c:v>
                </c:pt>
                <c:pt idx="649">
                  <c:v>44770</c:v>
                </c:pt>
                <c:pt idx="650">
                  <c:v>44771</c:v>
                </c:pt>
                <c:pt idx="651">
                  <c:v>44774</c:v>
                </c:pt>
                <c:pt idx="652">
                  <c:v>44775</c:v>
                </c:pt>
                <c:pt idx="653">
                  <c:v>44776</c:v>
                </c:pt>
                <c:pt idx="654">
                  <c:v>44777</c:v>
                </c:pt>
                <c:pt idx="655">
                  <c:v>44778</c:v>
                </c:pt>
                <c:pt idx="656">
                  <c:v>44781</c:v>
                </c:pt>
                <c:pt idx="657">
                  <c:v>44782</c:v>
                </c:pt>
                <c:pt idx="658">
                  <c:v>44783</c:v>
                </c:pt>
                <c:pt idx="659">
                  <c:v>44784</c:v>
                </c:pt>
                <c:pt idx="660">
                  <c:v>44785</c:v>
                </c:pt>
                <c:pt idx="661">
                  <c:v>44788</c:v>
                </c:pt>
                <c:pt idx="662">
                  <c:v>44789</c:v>
                </c:pt>
                <c:pt idx="663">
                  <c:v>44790</c:v>
                </c:pt>
                <c:pt idx="664">
                  <c:v>44791</c:v>
                </c:pt>
                <c:pt idx="665">
                  <c:v>44792</c:v>
                </c:pt>
                <c:pt idx="666">
                  <c:v>44795</c:v>
                </c:pt>
                <c:pt idx="667">
                  <c:v>44796</c:v>
                </c:pt>
                <c:pt idx="668">
                  <c:v>44797</c:v>
                </c:pt>
                <c:pt idx="669">
                  <c:v>44798</c:v>
                </c:pt>
                <c:pt idx="670">
                  <c:v>44799</c:v>
                </c:pt>
                <c:pt idx="671">
                  <c:v>44802</c:v>
                </c:pt>
                <c:pt idx="672">
                  <c:v>44803</c:v>
                </c:pt>
                <c:pt idx="673">
                  <c:v>44804</c:v>
                </c:pt>
                <c:pt idx="674">
                  <c:v>44805</c:v>
                </c:pt>
                <c:pt idx="675">
                  <c:v>44806</c:v>
                </c:pt>
                <c:pt idx="676">
                  <c:v>44810</c:v>
                </c:pt>
                <c:pt idx="677">
                  <c:v>44811</c:v>
                </c:pt>
                <c:pt idx="678">
                  <c:v>44812</c:v>
                </c:pt>
                <c:pt idx="679">
                  <c:v>44813</c:v>
                </c:pt>
                <c:pt idx="680">
                  <c:v>44816</c:v>
                </c:pt>
                <c:pt idx="681">
                  <c:v>44817</c:v>
                </c:pt>
                <c:pt idx="682">
                  <c:v>44818</c:v>
                </c:pt>
                <c:pt idx="683">
                  <c:v>44819</c:v>
                </c:pt>
                <c:pt idx="684">
                  <c:v>44820</c:v>
                </c:pt>
                <c:pt idx="685">
                  <c:v>44823</c:v>
                </c:pt>
                <c:pt idx="686">
                  <c:v>44824</c:v>
                </c:pt>
                <c:pt idx="687">
                  <c:v>44825</c:v>
                </c:pt>
                <c:pt idx="688">
                  <c:v>44826</c:v>
                </c:pt>
                <c:pt idx="689">
                  <c:v>44827</c:v>
                </c:pt>
                <c:pt idx="690">
                  <c:v>44830</c:v>
                </c:pt>
                <c:pt idx="691">
                  <c:v>44831</c:v>
                </c:pt>
                <c:pt idx="692">
                  <c:v>44832</c:v>
                </c:pt>
                <c:pt idx="693">
                  <c:v>44833</c:v>
                </c:pt>
                <c:pt idx="694">
                  <c:v>44834</c:v>
                </c:pt>
                <c:pt idx="695">
                  <c:v>44837</c:v>
                </c:pt>
                <c:pt idx="696">
                  <c:v>44838</c:v>
                </c:pt>
                <c:pt idx="697">
                  <c:v>44839</c:v>
                </c:pt>
                <c:pt idx="698">
                  <c:v>44840</c:v>
                </c:pt>
                <c:pt idx="699">
                  <c:v>44841</c:v>
                </c:pt>
                <c:pt idx="700">
                  <c:v>44844</c:v>
                </c:pt>
                <c:pt idx="701">
                  <c:v>44845</c:v>
                </c:pt>
                <c:pt idx="702">
                  <c:v>44846</c:v>
                </c:pt>
                <c:pt idx="703">
                  <c:v>44847</c:v>
                </c:pt>
                <c:pt idx="704">
                  <c:v>44848</c:v>
                </c:pt>
                <c:pt idx="705">
                  <c:v>44851</c:v>
                </c:pt>
                <c:pt idx="706">
                  <c:v>44852</c:v>
                </c:pt>
                <c:pt idx="707">
                  <c:v>44853</c:v>
                </c:pt>
                <c:pt idx="708">
                  <c:v>44854</c:v>
                </c:pt>
                <c:pt idx="709">
                  <c:v>44855</c:v>
                </c:pt>
                <c:pt idx="710">
                  <c:v>44858</c:v>
                </c:pt>
                <c:pt idx="711">
                  <c:v>44859</c:v>
                </c:pt>
                <c:pt idx="712">
                  <c:v>44860</c:v>
                </c:pt>
                <c:pt idx="713">
                  <c:v>44861</c:v>
                </c:pt>
                <c:pt idx="714">
                  <c:v>44862</c:v>
                </c:pt>
                <c:pt idx="715">
                  <c:v>44865</c:v>
                </c:pt>
                <c:pt idx="716">
                  <c:v>44866</c:v>
                </c:pt>
                <c:pt idx="717">
                  <c:v>44867</c:v>
                </c:pt>
                <c:pt idx="718">
                  <c:v>44868</c:v>
                </c:pt>
                <c:pt idx="719">
                  <c:v>44869</c:v>
                </c:pt>
                <c:pt idx="720">
                  <c:v>44872</c:v>
                </c:pt>
                <c:pt idx="721">
                  <c:v>44873</c:v>
                </c:pt>
                <c:pt idx="722">
                  <c:v>44874</c:v>
                </c:pt>
                <c:pt idx="723">
                  <c:v>44875</c:v>
                </c:pt>
                <c:pt idx="724">
                  <c:v>44876</c:v>
                </c:pt>
                <c:pt idx="725">
                  <c:v>44879</c:v>
                </c:pt>
                <c:pt idx="726">
                  <c:v>44880</c:v>
                </c:pt>
                <c:pt idx="727">
                  <c:v>44881</c:v>
                </c:pt>
                <c:pt idx="728">
                  <c:v>44882</c:v>
                </c:pt>
                <c:pt idx="729">
                  <c:v>44883</c:v>
                </c:pt>
                <c:pt idx="730">
                  <c:v>44886</c:v>
                </c:pt>
                <c:pt idx="731">
                  <c:v>44887</c:v>
                </c:pt>
                <c:pt idx="732">
                  <c:v>44888</c:v>
                </c:pt>
                <c:pt idx="733">
                  <c:v>44890</c:v>
                </c:pt>
                <c:pt idx="734">
                  <c:v>44893</c:v>
                </c:pt>
                <c:pt idx="735">
                  <c:v>44894</c:v>
                </c:pt>
                <c:pt idx="736">
                  <c:v>44895</c:v>
                </c:pt>
                <c:pt idx="737">
                  <c:v>44896</c:v>
                </c:pt>
                <c:pt idx="738">
                  <c:v>44897</c:v>
                </c:pt>
                <c:pt idx="739">
                  <c:v>44900</c:v>
                </c:pt>
                <c:pt idx="740">
                  <c:v>44901</c:v>
                </c:pt>
                <c:pt idx="741">
                  <c:v>44902</c:v>
                </c:pt>
                <c:pt idx="742">
                  <c:v>44903</c:v>
                </c:pt>
                <c:pt idx="743">
                  <c:v>44904</c:v>
                </c:pt>
                <c:pt idx="744">
                  <c:v>44907</c:v>
                </c:pt>
                <c:pt idx="745">
                  <c:v>44908</c:v>
                </c:pt>
                <c:pt idx="746">
                  <c:v>44909</c:v>
                </c:pt>
                <c:pt idx="747">
                  <c:v>44910</c:v>
                </c:pt>
                <c:pt idx="748">
                  <c:v>44911</c:v>
                </c:pt>
                <c:pt idx="749">
                  <c:v>44914</c:v>
                </c:pt>
                <c:pt idx="750">
                  <c:v>44915</c:v>
                </c:pt>
                <c:pt idx="751">
                  <c:v>44916</c:v>
                </c:pt>
                <c:pt idx="752">
                  <c:v>44917</c:v>
                </c:pt>
                <c:pt idx="753">
                  <c:v>44918</c:v>
                </c:pt>
                <c:pt idx="754">
                  <c:v>44922</c:v>
                </c:pt>
                <c:pt idx="755">
                  <c:v>44923</c:v>
                </c:pt>
                <c:pt idx="756">
                  <c:v>44924</c:v>
                </c:pt>
                <c:pt idx="757">
                  <c:v>44925</c:v>
                </c:pt>
                <c:pt idx="758">
                  <c:v>44929</c:v>
                </c:pt>
                <c:pt idx="759">
                  <c:v>44930</c:v>
                </c:pt>
                <c:pt idx="760">
                  <c:v>44931</c:v>
                </c:pt>
                <c:pt idx="761">
                  <c:v>44932</c:v>
                </c:pt>
                <c:pt idx="762">
                  <c:v>44935</c:v>
                </c:pt>
                <c:pt idx="763">
                  <c:v>44936</c:v>
                </c:pt>
                <c:pt idx="764">
                  <c:v>44937</c:v>
                </c:pt>
                <c:pt idx="765">
                  <c:v>44938</c:v>
                </c:pt>
                <c:pt idx="766">
                  <c:v>44939</c:v>
                </c:pt>
                <c:pt idx="767">
                  <c:v>44943</c:v>
                </c:pt>
                <c:pt idx="768">
                  <c:v>44944</c:v>
                </c:pt>
                <c:pt idx="769">
                  <c:v>44945</c:v>
                </c:pt>
                <c:pt idx="770">
                  <c:v>44946</c:v>
                </c:pt>
                <c:pt idx="771">
                  <c:v>44949</c:v>
                </c:pt>
                <c:pt idx="772">
                  <c:v>44950</c:v>
                </c:pt>
                <c:pt idx="773">
                  <c:v>44951</c:v>
                </c:pt>
                <c:pt idx="774">
                  <c:v>44952</c:v>
                </c:pt>
                <c:pt idx="775">
                  <c:v>44953</c:v>
                </c:pt>
                <c:pt idx="776">
                  <c:v>44956</c:v>
                </c:pt>
                <c:pt idx="777">
                  <c:v>44957</c:v>
                </c:pt>
                <c:pt idx="778">
                  <c:v>44958</c:v>
                </c:pt>
                <c:pt idx="779">
                  <c:v>44959</c:v>
                </c:pt>
                <c:pt idx="780">
                  <c:v>44960</c:v>
                </c:pt>
                <c:pt idx="781">
                  <c:v>44963</c:v>
                </c:pt>
                <c:pt idx="782">
                  <c:v>44964</c:v>
                </c:pt>
                <c:pt idx="783">
                  <c:v>44965</c:v>
                </c:pt>
                <c:pt idx="784">
                  <c:v>44966</c:v>
                </c:pt>
                <c:pt idx="785">
                  <c:v>44967</c:v>
                </c:pt>
                <c:pt idx="786">
                  <c:v>44970</c:v>
                </c:pt>
                <c:pt idx="787">
                  <c:v>44971</c:v>
                </c:pt>
                <c:pt idx="788">
                  <c:v>44972</c:v>
                </c:pt>
                <c:pt idx="789">
                  <c:v>44973</c:v>
                </c:pt>
                <c:pt idx="790">
                  <c:v>44974</c:v>
                </c:pt>
                <c:pt idx="791">
                  <c:v>44978</c:v>
                </c:pt>
                <c:pt idx="792">
                  <c:v>44979</c:v>
                </c:pt>
                <c:pt idx="793">
                  <c:v>44980</c:v>
                </c:pt>
                <c:pt idx="794">
                  <c:v>44981</c:v>
                </c:pt>
                <c:pt idx="795">
                  <c:v>44984</c:v>
                </c:pt>
                <c:pt idx="796">
                  <c:v>44985</c:v>
                </c:pt>
                <c:pt idx="797">
                  <c:v>44986</c:v>
                </c:pt>
                <c:pt idx="798">
                  <c:v>44987</c:v>
                </c:pt>
                <c:pt idx="799">
                  <c:v>44988</c:v>
                </c:pt>
                <c:pt idx="800">
                  <c:v>44991</c:v>
                </c:pt>
                <c:pt idx="801">
                  <c:v>44992</c:v>
                </c:pt>
                <c:pt idx="802">
                  <c:v>44993</c:v>
                </c:pt>
                <c:pt idx="803">
                  <c:v>44994</c:v>
                </c:pt>
                <c:pt idx="804">
                  <c:v>44995</c:v>
                </c:pt>
                <c:pt idx="805">
                  <c:v>44998</c:v>
                </c:pt>
                <c:pt idx="806">
                  <c:v>44999</c:v>
                </c:pt>
                <c:pt idx="807">
                  <c:v>45000</c:v>
                </c:pt>
                <c:pt idx="808">
                  <c:v>45001</c:v>
                </c:pt>
                <c:pt idx="809">
                  <c:v>45002</c:v>
                </c:pt>
                <c:pt idx="810">
                  <c:v>45005</c:v>
                </c:pt>
                <c:pt idx="811">
                  <c:v>45006</c:v>
                </c:pt>
                <c:pt idx="812">
                  <c:v>45007</c:v>
                </c:pt>
                <c:pt idx="813">
                  <c:v>45008</c:v>
                </c:pt>
                <c:pt idx="814">
                  <c:v>45009</c:v>
                </c:pt>
                <c:pt idx="815">
                  <c:v>45012</c:v>
                </c:pt>
                <c:pt idx="816">
                  <c:v>45013</c:v>
                </c:pt>
                <c:pt idx="817">
                  <c:v>45014</c:v>
                </c:pt>
                <c:pt idx="818">
                  <c:v>45015</c:v>
                </c:pt>
                <c:pt idx="819">
                  <c:v>45016</c:v>
                </c:pt>
                <c:pt idx="820">
                  <c:v>45019</c:v>
                </c:pt>
                <c:pt idx="821">
                  <c:v>45020</c:v>
                </c:pt>
                <c:pt idx="822">
                  <c:v>45021</c:v>
                </c:pt>
                <c:pt idx="823">
                  <c:v>45022</c:v>
                </c:pt>
                <c:pt idx="824">
                  <c:v>45026</c:v>
                </c:pt>
                <c:pt idx="825">
                  <c:v>45027</c:v>
                </c:pt>
                <c:pt idx="826">
                  <c:v>45028</c:v>
                </c:pt>
                <c:pt idx="827">
                  <c:v>45029</c:v>
                </c:pt>
                <c:pt idx="828">
                  <c:v>45030</c:v>
                </c:pt>
                <c:pt idx="829">
                  <c:v>45033</c:v>
                </c:pt>
                <c:pt idx="830">
                  <c:v>45034</c:v>
                </c:pt>
                <c:pt idx="831">
                  <c:v>45035</c:v>
                </c:pt>
                <c:pt idx="832">
                  <c:v>45036</c:v>
                </c:pt>
                <c:pt idx="833">
                  <c:v>45037</c:v>
                </c:pt>
                <c:pt idx="834">
                  <c:v>45040</c:v>
                </c:pt>
                <c:pt idx="835">
                  <c:v>45041</c:v>
                </c:pt>
                <c:pt idx="836">
                  <c:v>45042</c:v>
                </c:pt>
                <c:pt idx="837">
                  <c:v>45043</c:v>
                </c:pt>
                <c:pt idx="838">
                  <c:v>45044</c:v>
                </c:pt>
                <c:pt idx="839">
                  <c:v>45047</c:v>
                </c:pt>
                <c:pt idx="840">
                  <c:v>45048</c:v>
                </c:pt>
                <c:pt idx="841">
                  <c:v>45049</c:v>
                </c:pt>
                <c:pt idx="842">
                  <c:v>45050</c:v>
                </c:pt>
                <c:pt idx="843">
                  <c:v>45051</c:v>
                </c:pt>
                <c:pt idx="844">
                  <c:v>45054</c:v>
                </c:pt>
                <c:pt idx="845">
                  <c:v>45055</c:v>
                </c:pt>
                <c:pt idx="846">
                  <c:v>45056</c:v>
                </c:pt>
                <c:pt idx="847">
                  <c:v>45057</c:v>
                </c:pt>
                <c:pt idx="848">
                  <c:v>45058</c:v>
                </c:pt>
                <c:pt idx="849">
                  <c:v>45061</c:v>
                </c:pt>
                <c:pt idx="850">
                  <c:v>45062</c:v>
                </c:pt>
                <c:pt idx="851">
                  <c:v>45063</c:v>
                </c:pt>
                <c:pt idx="852">
                  <c:v>45064</c:v>
                </c:pt>
                <c:pt idx="853">
                  <c:v>45065</c:v>
                </c:pt>
                <c:pt idx="854">
                  <c:v>45068</c:v>
                </c:pt>
                <c:pt idx="855">
                  <c:v>45069</c:v>
                </c:pt>
                <c:pt idx="856">
                  <c:v>45070</c:v>
                </c:pt>
                <c:pt idx="857">
                  <c:v>45071</c:v>
                </c:pt>
                <c:pt idx="858">
                  <c:v>45072</c:v>
                </c:pt>
                <c:pt idx="859">
                  <c:v>45076</c:v>
                </c:pt>
                <c:pt idx="860">
                  <c:v>45077</c:v>
                </c:pt>
                <c:pt idx="861">
                  <c:v>45078</c:v>
                </c:pt>
                <c:pt idx="862">
                  <c:v>45079</c:v>
                </c:pt>
                <c:pt idx="863">
                  <c:v>45082</c:v>
                </c:pt>
                <c:pt idx="864">
                  <c:v>45083</c:v>
                </c:pt>
                <c:pt idx="865">
                  <c:v>45084</c:v>
                </c:pt>
                <c:pt idx="866">
                  <c:v>45085</c:v>
                </c:pt>
                <c:pt idx="867">
                  <c:v>45086</c:v>
                </c:pt>
                <c:pt idx="868">
                  <c:v>45089</c:v>
                </c:pt>
                <c:pt idx="869">
                  <c:v>45090</c:v>
                </c:pt>
                <c:pt idx="870">
                  <c:v>45091</c:v>
                </c:pt>
                <c:pt idx="871">
                  <c:v>45092</c:v>
                </c:pt>
                <c:pt idx="872">
                  <c:v>45093</c:v>
                </c:pt>
                <c:pt idx="873">
                  <c:v>45097</c:v>
                </c:pt>
                <c:pt idx="874">
                  <c:v>45098</c:v>
                </c:pt>
                <c:pt idx="875">
                  <c:v>45099</c:v>
                </c:pt>
                <c:pt idx="876">
                  <c:v>45100</c:v>
                </c:pt>
                <c:pt idx="877">
                  <c:v>45103</c:v>
                </c:pt>
                <c:pt idx="878">
                  <c:v>45104</c:v>
                </c:pt>
                <c:pt idx="879">
                  <c:v>45105</c:v>
                </c:pt>
                <c:pt idx="880">
                  <c:v>45106</c:v>
                </c:pt>
                <c:pt idx="881">
                  <c:v>45107</c:v>
                </c:pt>
                <c:pt idx="882">
                  <c:v>45110</c:v>
                </c:pt>
                <c:pt idx="883">
                  <c:v>45112</c:v>
                </c:pt>
                <c:pt idx="884">
                  <c:v>45113</c:v>
                </c:pt>
                <c:pt idx="885">
                  <c:v>45114</c:v>
                </c:pt>
                <c:pt idx="886">
                  <c:v>45117</c:v>
                </c:pt>
                <c:pt idx="887">
                  <c:v>45118</c:v>
                </c:pt>
                <c:pt idx="888">
                  <c:v>45119</c:v>
                </c:pt>
                <c:pt idx="889">
                  <c:v>45120</c:v>
                </c:pt>
                <c:pt idx="890">
                  <c:v>45121</c:v>
                </c:pt>
                <c:pt idx="891">
                  <c:v>45124</c:v>
                </c:pt>
                <c:pt idx="892">
                  <c:v>45125</c:v>
                </c:pt>
                <c:pt idx="893">
                  <c:v>45126</c:v>
                </c:pt>
                <c:pt idx="894">
                  <c:v>45127</c:v>
                </c:pt>
                <c:pt idx="895">
                  <c:v>45128</c:v>
                </c:pt>
                <c:pt idx="896">
                  <c:v>45131</c:v>
                </c:pt>
                <c:pt idx="897">
                  <c:v>45132</c:v>
                </c:pt>
                <c:pt idx="898">
                  <c:v>45133</c:v>
                </c:pt>
                <c:pt idx="899">
                  <c:v>45134</c:v>
                </c:pt>
                <c:pt idx="900">
                  <c:v>45135</c:v>
                </c:pt>
                <c:pt idx="901">
                  <c:v>45138</c:v>
                </c:pt>
                <c:pt idx="902">
                  <c:v>45139</c:v>
                </c:pt>
                <c:pt idx="903">
                  <c:v>45140</c:v>
                </c:pt>
                <c:pt idx="904">
                  <c:v>45141</c:v>
                </c:pt>
                <c:pt idx="905">
                  <c:v>45142</c:v>
                </c:pt>
                <c:pt idx="906">
                  <c:v>45145</c:v>
                </c:pt>
                <c:pt idx="907">
                  <c:v>45146</c:v>
                </c:pt>
                <c:pt idx="908">
                  <c:v>45147</c:v>
                </c:pt>
                <c:pt idx="909">
                  <c:v>45148</c:v>
                </c:pt>
                <c:pt idx="910">
                  <c:v>45149</c:v>
                </c:pt>
                <c:pt idx="911">
                  <c:v>45152</c:v>
                </c:pt>
                <c:pt idx="912">
                  <c:v>45153</c:v>
                </c:pt>
                <c:pt idx="913">
                  <c:v>45154</c:v>
                </c:pt>
                <c:pt idx="914">
                  <c:v>45155</c:v>
                </c:pt>
                <c:pt idx="915">
                  <c:v>45156</c:v>
                </c:pt>
                <c:pt idx="916">
                  <c:v>45159</c:v>
                </c:pt>
                <c:pt idx="917">
                  <c:v>45160</c:v>
                </c:pt>
                <c:pt idx="918">
                  <c:v>45161</c:v>
                </c:pt>
                <c:pt idx="919">
                  <c:v>45162</c:v>
                </c:pt>
                <c:pt idx="920">
                  <c:v>45163</c:v>
                </c:pt>
                <c:pt idx="921">
                  <c:v>45166</c:v>
                </c:pt>
                <c:pt idx="922">
                  <c:v>45167</c:v>
                </c:pt>
                <c:pt idx="923">
                  <c:v>45168</c:v>
                </c:pt>
                <c:pt idx="924">
                  <c:v>45169</c:v>
                </c:pt>
                <c:pt idx="925">
                  <c:v>45170</c:v>
                </c:pt>
                <c:pt idx="926">
                  <c:v>45174</c:v>
                </c:pt>
                <c:pt idx="927">
                  <c:v>45175</c:v>
                </c:pt>
                <c:pt idx="928">
                  <c:v>45176</c:v>
                </c:pt>
                <c:pt idx="929">
                  <c:v>45177</c:v>
                </c:pt>
                <c:pt idx="930">
                  <c:v>45180</c:v>
                </c:pt>
                <c:pt idx="931">
                  <c:v>45181</c:v>
                </c:pt>
                <c:pt idx="932">
                  <c:v>45182</c:v>
                </c:pt>
                <c:pt idx="933">
                  <c:v>45183</c:v>
                </c:pt>
                <c:pt idx="934">
                  <c:v>45184</c:v>
                </c:pt>
                <c:pt idx="935">
                  <c:v>45187</c:v>
                </c:pt>
                <c:pt idx="936">
                  <c:v>45188</c:v>
                </c:pt>
                <c:pt idx="937">
                  <c:v>45189</c:v>
                </c:pt>
                <c:pt idx="938">
                  <c:v>45190</c:v>
                </c:pt>
                <c:pt idx="939">
                  <c:v>45191</c:v>
                </c:pt>
                <c:pt idx="940">
                  <c:v>45194</c:v>
                </c:pt>
                <c:pt idx="941">
                  <c:v>45195</c:v>
                </c:pt>
                <c:pt idx="942">
                  <c:v>45196</c:v>
                </c:pt>
                <c:pt idx="943">
                  <c:v>45197</c:v>
                </c:pt>
                <c:pt idx="944">
                  <c:v>45198</c:v>
                </c:pt>
                <c:pt idx="945">
                  <c:v>45201</c:v>
                </c:pt>
                <c:pt idx="946">
                  <c:v>45202</c:v>
                </c:pt>
                <c:pt idx="947">
                  <c:v>45203</c:v>
                </c:pt>
                <c:pt idx="948">
                  <c:v>45204</c:v>
                </c:pt>
                <c:pt idx="949">
                  <c:v>45205</c:v>
                </c:pt>
                <c:pt idx="950">
                  <c:v>45208</c:v>
                </c:pt>
                <c:pt idx="951">
                  <c:v>45209</c:v>
                </c:pt>
                <c:pt idx="952">
                  <c:v>45210</c:v>
                </c:pt>
                <c:pt idx="953">
                  <c:v>45211</c:v>
                </c:pt>
                <c:pt idx="954">
                  <c:v>45212</c:v>
                </c:pt>
                <c:pt idx="955">
                  <c:v>45215</c:v>
                </c:pt>
                <c:pt idx="956">
                  <c:v>45216</c:v>
                </c:pt>
                <c:pt idx="957">
                  <c:v>45217</c:v>
                </c:pt>
                <c:pt idx="958">
                  <c:v>45218</c:v>
                </c:pt>
                <c:pt idx="959">
                  <c:v>45219</c:v>
                </c:pt>
                <c:pt idx="960">
                  <c:v>45222</c:v>
                </c:pt>
                <c:pt idx="961">
                  <c:v>45223</c:v>
                </c:pt>
                <c:pt idx="962">
                  <c:v>45224</c:v>
                </c:pt>
                <c:pt idx="963">
                  <c:v>45225</c:v>
                </c:pt>
                <c:pt idx="964">
                  <c:v>45226</c:v>
                </c:pt>
                <c:pt idx="965">
                  <c:v>45229</c:v>
                </c:pt>
                <c:pt idx="966">
                  <c:v>45230</c:v>
                </c:pt>
                <c:pt idx="967">
                  <c:v>45231</c:v>
                </c:pt>
                <c:pt idx="968">
                  <c:v>45232</c:v>
                </c:pt>
                <c:pt idx="969">
                  <c:v>45233</c:v>
                </c:pt>
                <c:pt idx="970">
                  <c:v>45236</c:v>
                </c:pt>
                <c:pt idx="971">
                  <c:v>45237</c:v>
                </c:pt>
                <c:pt idx="972">
                  <c:v>45238</c:v>
                </c:pt>
                <c:pt idx="973">
                  <c:v>45239</c:v>
                </c:pt>
                <c:pt idx="974">
                  <c:v>45240</c:v>
                </c:pt>
                <c:pt idx="975">
                  <c:v>45243</c:v>
                </c:pt>
                <c:pt idx="976">
                  <c:v>45244</c:v>
                </c:pt>
                <c:pt idx="977">
                  <c:v>45245</c:v>
                </c:pt>
                <c:pt idx="978">
                  <c:v>45246</c:v>
                </c:pt>
                <c:pt idx="979">
                  <c:v>45247</c:v>
                </c:pt>
                <c:pt idx="980">
                  <c:v>45250</c:v>
                </c:pt>
                <c:pt idx="981">
                  <c:v>45251</c:v>
                </c:pt>
                <c:pt idx="982">
                  <c:v>45252</c:v>
                </c:pt>
                <c:pt idx="983">
                  <c:v>45254</c:v>
                </c:pt>
                <c:pt idx="984">
                  <c:v>45257</c:v>
                </c:pt>
                <c:pt idx="985">
                  <c:v>45258</c:v>
                </c:pt>
                <c:pt idx="986">
                  <c:v>45259</c:v>
                </c:pt>
                <c:pt idx="987">
                  <c:v>45260</c:v>
                </c:pt>
                <c:pt idx="988">
                  <c:v>45261</c:v>
                </c:pt>
                <c:pt idx="989">
                  <c:v>45264</c:v>
                </c:pt>
                <c:pt idx="990">
                  <c:v>45265</c:v>
                </c:pt>
                <c:pt idx="991">
                  <c:v>45266</c:v>
                </c:pt>
                <c:pt idx="992">
                  <c:v>45267</c:v>
                </c:pt>
                <c:pt idx="993">
                  <c:v>45268</c:v>
                </c:pt>
                <c:pt idx="994">
                  <c:v>45271</c:v>
                </c:pt>
                <c:pt idx="995">
                  <c:v>45272</c:v>
                </c:pt>
                <c:pt idx="996">
                  <c:v>45273</c:v>
                </c:pt>
                <c:pt idx="997">
                  <c:v>45274</c:v>
                </c:pt>
                <c:pt idx="998">
                  <c:v>45275</c:v>
                </c:pt>
                <c:pt idx="999">
                  <c:v>45278</c:v>
                </c:pt>
                <c:pt idx="1000">
                  <c:v>45279</c:v>
                </c:pt>
                <c:pt idx="1001">
                  <c:v>45280</c:v>
                </c:pt>
                <c:pt idx="1002">
                  <c:v>45281</c:v>
                </c:pt>
                <c:pt idx="1003">
                  <c:v>45282</c:v>
                </c:pt>
                <c:pt idx="1004">
                  <c:v>45286</c:v>
                </c:pt>
                <c:pt idx="1005">
                  <c:v>45287</c:v>
                </c:pt>
                <c:pt idx="1006">
                  <c:v>45288</c:v>
                </c:pt>
                <c:pt idx="1007">
                  <c:v>45289</c:v>
                </c:pt>
                <c:pt idx="1008">
                  <c:v>45293</c:v>
                </c:pt>
                <c:pt idx="1009">
                  <c:v>45294</c:v>
                </c:pt>
                <c:pt idx="1010">
                  <c:v>45295</c:v>
                </c:pt>
                <c:pt idx="1011">
                  <c:v>45296</c:v>
                </c:pt>
                <c:pt idx="1012">
                  <c:v>45299</c:v>
                </c:pt>
                <c:pt idx="1013">
                  <c:v>45300</c:v>
                </c:pt>
                <c:pt idx="1014">
                  <c:v>45301</c:v>
                </c:pt>
                <c:pt idx="1015">
                  <c:v>45302</c:v>
                </c:pt>
                <c:pt idx="1016">
                  <c:v>45303</c:v>
                </c:pt>
                <c:pt idx="1017">
                  <c:v>45307</c:v>
                </c:pt>
                <c:pt idx="1018">
                  <c:v>45308</c:v>
                </c:pt>
                <c:pt idx="1019">
                  <c:v>45309</c:v>
                </c:pt>
                <c:pt idx="1020">
                  <c:v>45310</c:v>
                </c:pt>
                <c:pt idx="1021">
                  <c:v>45313</c:v>
                </c:pt>
                <c:pt idx="1022">
                  <c:v>45314</c:v>
                </c:pt>
                <c:pt idx="1023">
                  <c:v>45315</c:v>
                </c:pt>
                <c:pt idx="1024">
                  <c:v>45316</c:v>
                </c:pt>
                <c:pt idx="1025">
                  <c:v>45317</c:v>
                </c:pt>
                <c:pt idx="1026">
                  <c:v>45320</c:v>
                </c:pt>
                <c:pt idx="1027">
                  <c:v>45321</c:v>
                </c:pt>
                <c:pt idx="1028">
                  <c:v>45322</c:v>
                </c:pt>
                <c:pt idx="1029">
                  <c:v>45323</c:v>
                </c:pt>
                <c:pt idx="1030">
                  <c:v>45324</c:v>
                </c:pt>
                <c:pt idx="1031">
                  <c:v>45327</c:v>
                </c:pt>
                <c:pt idx="1032">
                  <c:v>45328</c:v>
                </c:pt>
                <c:pt idx="1033">
                  <c:v>45329</c:v>
                </c:pt>
                <c:pt idx="1034">
                  <c:v>45330</c:v>
                </c:pt>
                <c:pt idx="1035">
                  <c:v>45331</c:v>
                </c:pt>
                <c:pt idx="1036">
                  <c:v>45334</c:v>
                </c:pt>
                <c:pt idx="1037">
                  <c:v>45335</c:v>
                </c:pt>
                <c:pt idx="1038">
                  <c:v>45336</c:v>
                </c:pt>
                <c:pt idx="1039">
                  <c:v>45337</c:v>
                </c:pt>
                <c:pt idx="1040">
                  <c:v>45338</c:v>
                </c:pt>
                <c:pt idx="1041">
                  <c:v>45342</c:v>
                </c:pt>
                <c:pt idx="1042">
                  <c:v>45343</c:v>
                </c:pt>
                <c:pt idx="1043">
                  <c:v>45344</c:v>
                </c:pt>
                <c:pt idx="1044">
                  <c:v>45345</c:v>
                </c:pt>
                <c:pt idx="1045">
                  <c:v>45348</c:v>
                </c:pt>
                <c:pt idx="1046">
                  <c:v>45349</c:v>
                </c:pt>
                <c:pt idx="1047">
                  <c:v>45350</c:v>
                </c:pt>
                <c:pt idx="1048">
                  <c:v>45351</c:v>
                </c:pt>
                <c:pt idx="1049">
                  <c:v>45352</c:v>
                </c:pt>
                <c:pt idx="1050">
                  <c:v>45355</c:v>
                </c:pt>
                <c:pt idx="1051">
                  <c:v>45356</c:v>
                </c:pt>
                <c:pt idx="1052">
                  <c:v>45357</c:v>
                </c:pt>
                <c:pt idx="1053">
                  <c:v>45358</c:v>
                </c:pt>
                <c:pt idx="1054">
                  <c:v>45359</c:v>
                </c:pt>
                <c:pt idx="1055">
                  <c:v>45362</c:v>
                </c:pt>
                <c:pt idx="1056">
                  <c:v>45363</c:v>
                </c:pt>
                <c:pt idx="1057">
                  <c:v>45364</c:v>
                </c:pt>
                <c:pt idx="1058">
                  <c:v>45365</c:v>
                </c:pt>
                <c:pt idx="1059">
                  <c:v>45366</c:v>
                </c:pt>
                <c:pt idx="1060">
                  <c:v>45369</c:v>
                </c:pt>
                <c:pt idx="1061">
                  <c:v>45370</c:v>
                </c:pt>
                <c:pt idx="1062">
                  <c:v>45371</c:v>
                </c:pt>
                <c:pt idx="1063">
                  <c:v>45372</c:v>
                </c:pt>
                <c:pt idx="1064">
                  <c:v>45373</c:v>
                </c:pt>
                <c:pt idx="1065">
                  <c:v>45376</c:v>
                </c:pt>
                <c:pt idx="1066">
                  <c:v>45377</c:v>
                </c:pt>
                <c:pt idx="1067">
                  <c:v>45378</c:v>
                </c:pt>
                <c:pt idx="1068">
                  <c:v>45379</c:v>
                </c:pt>
                <c:pt idx="1069">
                  <c:v>45383</c:v>
                </c:pt>
                <c:pt idx="1070">
                  <c:v>45384</c:v>
                </c:pt>
                <c:pt idx="1071">
                  <c:v>45385</c:v>
                </c:pt>
                <c:pt idx="1072">
                  <c:v>45386</c:v>
                </c:pt>
                <c:pt idx="1073">
                  <c:v>45387</c:v>
                </c:pt>
                <c:pt idx="1074">
                  <c:v>45390</c:v>
                </c:pt>
                <c:pt idx="1075">
                  <c:v>45391</c:v>
                </c:pt>
                <c:pt idx="1076">
                  <c:v>45392</c:v>
                </c:pt>
                <c:pt idx="1077">
                  <c:v>45393</c:v>
                </c:pt>
                <c:pt idx="1078">
                  <c:v>45394</c:v>
                </c:pt>
                <c:pt idx="1079">
                  <c:v>45397</c:v>
                </c:pt>
                <c:pt idx="1080">
                  <c:v>45398</c:v>
                </c:pt>
                <c:pt idx="1081">
                  <c:v>45399</c:v>
                </c:pt>
                <c:pt idx="1082">
                  <c:v>45400</c:v>
                </c:pt>
                <c:pt idx="1083">
                  <c:v>45401</c:v>
                </c:pt>
                <c:pt idx="1084">
                  <c:v>45404</c:v>
                </c:pt>
                <c:pt idx="1085">
                  <c:v>45405</c:v>
                </c:pt>
                <c:pt idx="1086">
                  <c:v>45406</c:v>
                </c:pt>
                <c:pt idx="1087">
                  <c:v>45407</c:v>
                </c:pt>
                <c:pt idx="1088">
                  <c:v>45408</c:v>
                </c:pt>
                <c:pt idx="1089">
                  <c:v>45411</c:v>
                </c:pt>
                <c:pt idx="1090">
                  <c:v>45412</c:v>
                </c:pt>
                <c:pt idx="1091">
                  <c:v>45413</c:v>
                </c:pt>
                <c:pt idx="1092">
                  <c:v>45414</c:v>
                </c:pt>
                <c:pt idx="1093">
                  <c:v>45415</c:v>
                </c:pt>
                <c:pt idx="1094">
                  <c:v>45418</c:v>
                </c:pt>
                <c:pt idx="1095">
                  <c:v>45419</c:v>
                </c:pt>
                <c:pt idx="1096">
                  <c:v>45420</c:v>
                </c:pt>
                <c:pt idx="1097">
                  <c:v>45421</c:v>
                </c:pt>
                <c:pt idx="1098">
                  <c:v>45422</c:v>
                </c:pt>
                <c:pt idx="1099">
                  <c:v>45425</c:v>
                </c:pt>
                <c:pt idx="1100">
                  <c:v>45426</c:v>
                </c:pt>
                <c:pt idx="1101">
                  <c:v>45427</c:v>
                </c:pt>
                <c:pt idx="1102">
                  <c:v>45428</c:v>
                </c:pt>
                <c:pt idx="1103">
                  <c:v>45429</c:v>
                </c:pt>
                <c:pt idx="1104">
                  <c:v>45432</c:v>
                </c:pt>
                <c:pt idx="1105">
                  <c:v>45433</c:v>
                </c:pt>
                <c:pt idx="1106">
                  <c:v>45434</c:v>
                </c:pt>
                <c:pt idx="1107">
                  <c:v>45435</c:v>
                </c:pt>
                <c:pt idx="1108">
                  <c:v>45436</c:v>
                </c:pt>
                <c:pt idx="1109">
                  <c:v>45440</c:v>
                </c:pt>
                <c:pt idx="1110">
                  <c:v>45441</c:v>
                </c:pt>
                <c:pt idx="1111">
                  <c:v>45442</c:v>
                </c:pt>
                <c:pt idx="1112">
                  <c:v>45443</c:v>
                </c:pt>
                <c:pt idx="1113">
                  <c:v>45446</c:v>
                </c:pt>
                <c:pt idx="1114">
                  <c:v>45447</c:v>
                </c:pt>
                <c:pt idx="1115">
                  <c:v>45448</c:v>
                </c:pt>
                <c:pt idx="1116">
                  <c:v>45449</c:v>
                </c:pt>
                <c:pt idx="1117">
                  <c:v>45450</c:v>
                </c:pt>
                <c:pt idx="1118">
                  <c:v>45453</c:v>
                </c:pt>
                <c:pt idx="1119">
                  <c:v>45454</c:v>
                </c:pt>
                <c:pt idx="1120">
                  <c:v>45455</c:v>
                </c:pt>
                <c:pt idx="1121">
                  <c:v>45456</c:v>
                </c:pt>
                <c:pt idx="1122">
                  <c:v>45457</c:v>
                </c:pt>
                <c:pt idx="1123">
                  <c:v>45460</c:v>
                </c:pt>
                <c:pt idx="1124">
                  <c:v>45461</c:v>
                </c:pt>
                <c:pt idx="1125">
                  <c:v>45463</c:v>
                </c:pt>
                <c:pt idx="1126">
                  <c:v>45464</c:v>
                </c:pt>
                <c:pt idx="1127">
                  <c:v>45467</c:v>
                </c:pt>
                <c:pt idx="1128">
                  <c:v>45468</c:v>
                </c:pt>
                <c:pt idx="1129">
                  <c:v>45469</c:v>
                </c:pt>
                <c:pt idx="1130">
                  <c:v>45470</c:v>
                </c:pt>
                <c:pt idx="1131">
                  <c:v>45471</c:v>
                </c:pt>
                <c:pt idx="1132">
                  <c:v>45474</c:v>
                </c:pt>
                <c:pt idx="1133">
                  <c:v>45475</c:v>
                </c:pt>
                <c:pt idx="1134">
                  <c:v>45476</c:v>
                </c:pt>
                <c:pt idx="1135">
                  <c:v>45478</c:v>
                </c:pt>
                <c:pt idx="1136">
                  <c:v>45481</c:v>
                </c:pt>
                <c:pt idx="1137">
                  <c:v>45482</c:v>
                </c:pt>
                <c:pt idx="1138">
                  <c:v>45483</c:v>
                </c:pt>
                <c:pt idx="1139">
                  <c:v>45484</c:v>
                </c:pt>
                <c:pt idx="1140">
                  <c:v>45485</c:v>
                </c:pt>
                <c:pt idx="1141">
                  <c:v>45488</c:v>
                </c:pt>
                <c:pt idx="1142">
                  <c:v>45489</c:v>
                </c:pt>
                <c:pt idx="1143">
                  <c:v>45490</c:v>
                </c:pt>
                <c:pt idx="1144">
                  <c:v>45491</c:v>
                </c:pt>
                <c:pt idx="1145">
                  <c:v>45492</c:v>
                </c:pt>
                <c:pt idx="1146">
                  <c:v>45495</c:v>
                </c:pt>
                <c:pt idx="1147">
                  <c:v>45496</c:v>
                </c:pt>
                <c:pt idx="1148">
                  <c:v>45497</c:v>
                </c:pt>
                <c:pt idx="1149">
                  <c:v>45498</c:v>
                </c:pt>
                <c:pt idx="1150">
                  <c:v>45499</c:v>
                </c:pt>
                <c:pt idx="1151">
                  <c:v>45502</c:v>
                </c:pt>
                <c:pt idx="1152">
                  <c:v>45503</c:v>
                </c:pt>
                <c:pt idx="1153">
                  <c:v>45504</c:v>
                </c:pt>
                <c:pt idx="1154">
                  <c:v>45505</c:v>
                </c:pt>
                <c:pt idx="1155">
                  <c:v>45506</c:v>
                </c:pt>
                <c:pt idx="1156">
                  <c:v>45509</c:v>
                </c:pt>
                <c:pt idx="1157">
                  <c:v>45510</c:v>
                </c:pt>
                <c:pt idx="1158">
                  <c:v>45511</c:v>
                </c:pt>
                <c:pt idx="1159">
                  <c:v>45512</c:v>
                </c:pt>
                <c:pt idx="1160">
                  <c:v>45513</c:v>
                </c:pt>
                <c:pt idx="1161">
                  <c:v>45516</c:v>
                </c:pt>
                <c:pt idx="1162">
                  <c:v>45517</c:v>
                </c:pt>
                <c:pt idx="1163">
                  <c:v>45518</c:v>
                </c:pt>
                <c:pt idx="1164">
                  <c:v>45519</c:v>
                </c:pt>
                <c:pt idx="1165">
                  <c:v>45520</c:v>
                </c:pt>
                <c:pt idx="1166">
                  <c:v>45523</c:v>
                </c:pt>
                <c:pt idx="1167">
                  <c:v>45524</c:v>
                </c:pt>
                <c:pt idx="1168">
                  <c:v>45525</c:v>
                </c:pt>
                <c:pt idx="1169">
                  <c:v>45526</c:v>
                </c:pt>
                <c:pt idx="1170">
                  <c:v>45527</c:v>
                </c:pt>
                <c:pt idx="1171">
                  <c:v>45530</c:v>
                </c:pt>
                <c:pt idx="1172">
                  <c:v>45531</c:v>
                </c:pt>
                <c:pt idx="1173">
                  <c:v>45532</c:v>
                </c:pt>
                <c:pt idx="1174">
                  <c:v>45533</c:v>
                </c:pt>
                <c:pt idx="1175">
                  <c:v>45534</c:v>
                </c:pt>
                <c:pt idx="1176">
                  <c:v>45538</c:v>
                </c:pt>
                <c:pt idx="1177">
                  <c:v>45539</c:v>
                </c:pt>
                <c:pt idx="1178">
                  <c:v>45540</c:v>
                </c:pt>
                <c:pt idx="1179">
                  <c:v>45541</c:v>
                </c:pt>
                <c:pt idx="1180">
                  <c:v>45544</c:v>
                </c:pt>
                <c:pt idx="1181">
                  <c:v>45545</c:v>
                </c:pt>
                <c:pt idx="1182">
                  <c:v>45546</c:v>
                </c:pt>
                <c:pt idx="1183">
                  <c:v>45547</c:v>
                </c:pt>
                <c:pt idx="1184">
                  <c:v>45548</c:v>
                </c:pt>
                <c:pt idx="1185">
                  <c:v>45551</c:v>
                </c:pt>
                <c:pt idx="1186">
                  <c:v>45552</c:v>
                </c:pt>
                <c:pt idx="1187">
                  <c:v>45553</c:v>
                </c:pt>
                <c:pt idx="1188">
                  <c:v>45554</c:v>
                </c:pt>
                <c:pt idx="1189">
                  <c:v>45555</c:v>
                </c:pt>
                <c:pt idx="1190">
                  <c:v>45558</c:v>
                </c:pt>
                <c:pt idx="1191">
                  <c:v>45559</c:v>
                </c:pt>
                <c:pt idx="1192">
                  <c:v>45560</c:v>
                </c:pt>
                <c:pt idx="1193">
                  <c:v>45561</c:v>
                </c:pt>
                <c:pt idx="1194">
                  <c:v>45562</c:v>
                </c:pt>
                <c:pt idx="1195">
                  <c:v>45565</c:v>
                </c:pt>
                <c:pt idx="1196">
                  <c:v>45566</c:v>
                </c:pt>
                <c:pt idx="1197">
                  <c:v>45567</c:v>
                </c:pt>
                <c:pt idx="1198">
                  <c:v>45568</c:v>
                </c:pt>
                <c:pt idx="1199">
                  <c:v>45569</c:v>
                </c:pt>
                <c:pt idx="1200">
                  <c:v>45572</c:v>
                </c:pt>
                <c:pt idx="1201">
                  <c:v>45573</c:v>
                </c:pt>
                <c:pt idx="1202">
                  <c:v>45574</c:v>
                </c:pt>
                <c:pt idx="1203">
                  <c:v>45575</c:v>
                </c:pt>
                <c:pt idx="1204">
                  <c:v>45576</c:v>
                </c:pt>
                <c:pt idx="1205">
                  <c:v>45579</c:v>
                </c:pt>
                <c:pt idx="1206">
                  <c:v>45580</c:v>
                </c:pt>
                <c:pt idx="1207">
                  <c:v>45581</c:v>
                </c:pt>
                <c:pt idx="1208">
                  <c:v>45582</c:v>
                </c:pt>
                <c:pt idx="1209">
                  <c:v>45583</c:v>
                </c:pt>
                <c:pt idx="1210">
                  <c:v>45586</c:v>
                </c:pt>
                <c:pt idx="1211">
                  <c:v>45587</c:v>
                </c:pt>
                <c:pt idx="1212">
                  <c:v>45588</c:v>
                </c:pt>
                <c:pt idx="1213">
                  <c:v>45589</c:v>
                </c:pt>
                <c:pt idx="1214">
                  <c:v>45590</c:v>
                </c:pt>
                <c:pt idx="1215">
                  <c:v>45593</c:v>
                </c:pt>
                <c:pt idx="1216">
                  <c:v>45594</c:v>
                </c:pt>
                <c:pt idx="1217">
                  <c:v>45595</c:v>
                </c:pt>
                <c:pt idx="1218">
                  <c:v>45596</c:v>
                </c:pt>
                <c:pt idx="1219">
                  <c:v>45597</c:v>
                </c:pt>
                <c:pt idx="1220">
                  <c:v>45600</c:v>
                </c:pt>
                <c:pt idx="1221">
                  <c:v>45601</c:v>
                </c:pt>
                <c:pt idx="1222">
                  <c:v>45602</c:v>
                </c:pt>
                <c:pt idx="1223">
                  <c:v>45603</c:v>
                </c:pt>
                <c:pt idx="1224">
                  <c:v>45604</c:v>
                </c:pt>
                <c:pt idx="1225">
                  <c:v>45607</c:v>
                </c:pt>
                <c:pt idx="1226">
                  <c:v>45608</c:v>
                </c:pt>
                <c:pt idx="1227">
                  <c:v>45609</c:v>
                </c:pt>
                <c:pt idx="1228">
                  <c:v>45610</c:v>
                </c:pt>
                <c:pt idx="1229">
                  <c:v>45611</c:v>
                </c:pt>
                <c:pt idx="1230">
                  <c:v>45614</c:v>
                </c:pt>
                <c:pt idx="1231">
                  <c:v>45615</c:v>
                </c:pt>
                <c:pt idx="1232">
                  <c:v>45616</c:v>
                </c:pt>
                <c:pt idx="1233">
                  <c:v>45617</c:v>
                </c:pt>
                <c:pt idx="1234">
                  <c:v>45618</c:v>
                </c:pt>
                <c:pt idx="1235">
                  <c:v>45621</c:v>
                </c:pt>
                <c:pt idx="1236">
                  <c:v>45622</c:v>
                </c:pt>
                <c:pt idx="1237">
                  <c:v>45623</c:v>
                </c:pt>
                <c:pt idx="1238">
                  <c:v>45625</c:v>
                </c:pt>
                <c:pt idx="1239">
                  <c:v>45628</c:v>
                </c:pt>
                <c:pt idx="1240">
                  <c:v>45629</c:v>
                </c:pt>
                <c:pt idx="1241">
                  <c:v>45630</c:v>
                </c:pt>
                <c:pt idx="1242">
                  <c:v>45631</c:v>
                </c:pt>
                <c:pt idx="1243">
                  <c:v>45632</c:v>
                </c:pt>
                <c:pt idx="1244">
                  <c:v>45635</c:v>
                </c:pt>
                <c:pt idx="1245">
                  <c:v>45636</c:v>
                </c:pt>
                <c:pt idx="1246">
                  <c:v>45637</c:v>
                </c:pt>
                <c:pt idx="1247">
                  <c:v>45638</c:v>
                </c:pt>
                <c:pt idx="1248">
                  <c:v>45639</c:v>
                </c:pt>
                <c:pt idx="1249">
                  <c:v>45642</c:v>
                </c:pt>
                <c:pt idx="1250">
                  <c:v>45643</c:v>
                </c:pt>
                <c:pt idx="1251">
                  <c:v>45644</c:v>
                </c:pt>
                <c:pt idx="1252">
                  <c:v>45645</c:v>
                </c:pt>
                <c:pt idx="1253">
                  <c:v>45646</c:v>
                </c:pt>
                <c:pt idx="1254">
                  <c:v>45649</c:v>
                </c:pt>
                <c:pt idx="1255">
                  <c:v>45650</c:v>
                </c:pt>
                <c:pt idx="1256">
                  <c:v>45652</c:v>
                </c:pt>
              </c:numCache>
            </c:numRef>
          </c:cat>
          <c:val>
            <c:numRef>
              <c:f>Data!$B$2:$B$1258</c:f>
              <c:numCache>
                <c:formatCode>General</c:formatCode>
                <c:ptCount val="1257"/>
                <c:pt idx="0">
                  <c:v>70.6558837890625</c:v>
                </c:pt>
                <c:pt idx="1">
                  <c:v>71.172126770019503</c:v>
                </c:pt>
                <c:pt idx="2">
                  <c:v>72.796035766601506</c:v>
                </c:pt>
                <c:pt idx="3">
                  <c:v>72.088294982910099</c:v>
                </c:pt>
                <c:pt idx="4">
                  <c:v>72.662712097167898</c:v>
                </c:pt>
                <c:pt idx="5">
                  <c:v>72.320968627929602</c:v>
                </c:pt>
                <c:pt idx="6">
                  <c:v>73.484344482421804</c:v>
                </c:pt>
                <c:pt idx="7">
                  <c:v>75.045211791992102</c:v>
                </c:pt>
                <c:pt idx="8">
                  <c:v>75.214866638183594</c:v>
                </c:pt>
                <c:pt idx="9">
                  <c:v>76.821792602539006</c:v>
                </c:pt>
                <c:pt idx="10">
                  <c:v>75.784439086914006</c:v>
                </c:pt>
                <c:pt idx="11">
                  <c:v>75.459678649902301</c:v>
                </c:pt>
                <c:pt idx="12">
                  <c:v>76.404914855957003</c:v>
                </c:pt>
                <c:pt idx="13">
                  <c:v>77.250816345214801</c:v>
                </c:pt>
                <c:pt idx="14">
                  <c:v>76.727279663085895</c:v>
                </c:pt>
                <c:pt idx="15">
                  <c:v>77.001152038574205</c:v>
                </c:pt>
                <c:pt idx="16">
                  <c:v>77.371978759765597</c:v>
                </c:pt>
                <c:pt idx="17">
                  <c:v>77.148994445800696</c:v>
                </c:pt>
                <c:pt idx="18">
                  <c:v>74.880401611328097</c:v>
                </c:pt>
                <c:pt idx="19">
                  <c:v>76.998725891113196</c:v>
                </c:pt>
                <c:pt idx="20">
                  <c:v>78.610488891601506</c:v>
                </c:pt>
                <c:pt idx="21">
                  <c:v>78.496574401855398</c:v>
                </c:pt>
                <c:pt idx="22">
                  <c:v>75.016128540039006</c:v>
                </c:pt>
                <c:pt idx="23">
                  <c:v>74.810134887695298</c:v>
                </c:pt>
                <c:pt idx="24">
                  <c:v>77.279876708984304</c:v>
                </c:pt>
                <c:pt idx="25">
                  <c:v>77.910026550292898</c:v>
                </c:pt>
                <c:pt idx="26">
                  <c:v>78.821357727050696</c:v>
                </c:pt>
                <c:pt idx="27">
                  <c:v>77.749961853027301</c:v>
                </c:pt>
                <c:pt idx="28">
                  <c:v>78.119247436523395</c:v>
                </c:pt>
                <c:pt idx="29">
                  <c:v>77.647918701171804</c:v>
                </c:pt>
                <c:pt idx="30">
                  <c:v>79.491882324218693</c:v>
                </c:pt>
                <c:pt idx="31">
                  <c:v>78.925819396972599</c:v>
                </c:pt>
                <c:pt idx="32">
                  <c:v>78.945236206054602</c:v>
                </c:pt>
                <c:pt idx="33">
                  <c:v>77.499717712402301</c:v>
                </c:pt>
                <c:pt idx="34">
                  <c:v>78.622123718261705</c:v>
                </c:pt>
                <c:pt idx="35">
                  <c:v>77.8155517578125</c:v>
                </c:pt>
                <c:pt idx="36">
                  <c:v>76.05419921875</c:v>
                </c:pt>
                <c:pt idx="37">
                  <c:v>72.441589355468693</c:v>
                </c:pt>
                <c:pt idx="38">
                  <c:v>69.987831115722599</c:v>
                </c:pt>
                <c:pt idx="39">
                  <c:v>71.098098754882798</c:v>
                </c:pt>
                <c:pt idx="40">
                  <c:v>66.4505615234375</c:v>
                </c:pt>
                <c:pt idx="41">
                  <c:v>66.411682128906193</c:v>
                </c:pt>
                <c:pt idx="42">
                  <c:v>72.594650268554602</c:v>
                </c:pt>
                <c:pt idx="43">
                  <c:v>70.289100646972599</c:v>
                </c:pt>
                <c:pt idx="44">
                  <c:v>73.549430847167898</c:v>
                </c:pt>
                <c:pt idx="45">
                  <c:v>71.1636962890625</c:v>
                </c:pt>
                <c:pt idx="46">
                  <c:v>70.218643188476506</c:v>
                </c:pt>
                <c:pt idx="47">
                  <c:v>64.664878845214801</c:v>
                </c:pt>
                <c:pt idx="48">
                  <c:v>69.322166442871094</c:v>
                </c:pt>
                <c:pt idx="49">
                  <c:v>66.914588928222599</c:v>
                </c:pt>
                <c:pt idx="50">
                  <c:v>60.306446075439403</c:v>
                </c:pt>
                <c:pt idx="51">
                  <c:v>67.531661987304602</c:v>
                </c:pt>
                <c:pt idx="52">
                  <c:v>58.843914031982401</c:v>
                </c:pt>
                <c:pt idx="53">
                  <c:v>61.431282043457003</c:v>
                </c:pt>
                <c:pt idx="54">
                  <c:v>59.927444458007798</c:v>
                </c:pt>
                <c:pt idx="55">
                  <c:v>59.468284606933501</c:v>
                </c:pt>
                <c:pt idx="56">
                  <c:v>55.692905426025298</c:v>
                </c:pt>
                <c:pt idx="57">
                  <c:v>54.509750366210902</c:v>
                </c:pt>
                <c:pt idx="58">
                  <c:v>59.97847366333</c:v>
                </c:pt>
                <c:pt idx="59">
                  <c:v>59.6480712890625</c:v>
                </c:pt>
                <c:pt idx="60">
                  <c:v>62.786933898925703</c:v>
                </c:pt>
                <c:pt idx="61">
                  <c:v>60.187412261962798</c:v>
                </c:pt>
                <c:pt idx="62">
                  <c:v>61.905029296875</c:v>
                </c:pt>
                <c:pt idx="63">
                  <c:v>61.778694152832003</c:v>
                </c:pt>
                <c:pt idx="64">
                  <c:v>58.528087615966797</c:v>
                </c:pt>
                <c:pt idx="65">
                  <c:v>59.5047187805175</c:v>
                </c:pt>
                <c:pt idx="66">
                  <c:v>58.6495552062988</c:v>
                </c:pt>
                <c:pt idx="67">
                  <c:v>63.766006469726499</c:v>
                </c:pt>
                <c:pt idx="68">
                  <c:v>63.027446746826101</c:v>
                </c:pt>
                <c:pt idx="69">
                  <c:v>64.640609741210895</c:v>
                </c:pt>
                <c:pt idx="70">
                  <c:v>65.1070556640625</c:v>
                </c:pt>
                <c:pt idx="71">
                  <c:v>66.384956359863196</c:v>
                </c:pt>
                <c:pt idx="72">
                  <c:v>69.737594604492102</c:v>
                </c:pt>
                <c:pt idx="73">
                  <c:v>69.10107421875</c:v>
                </c:pt>
                <c:pt idx="74">
                  <c:v>69.650154113769503</c:v>
                </c:pt>
                <c:pt idx="75">
                  <c:v>68.705101013183594</c:v>
                </c:pt>
                <c:pt idx="76">
                  <c:v>67.279006958007798</c:v>
                </c:pt>
                <c:pt idx="77">
                  <c:v>65.199378967285099</c:v>
                </c:pt>
                <c:pt idx="78">
                  <c:v>67.077346801757798</c:v>
                </c:pt>
                <c:pt idx="79">
                  <c:v>66.817405700683594</c:v>
                </c:pt>
                <c:pt idx="80">
                  <c:v>68.746398925781193</c:v>
                </c:pt>
                <c:pt idx="81">
                  <c:v>68.794967651367102</c:v>
                </c:pt>
                <c:pt idx="82">
                  <c:v>67.679847717285099</c:v>
                </c:pt>
                <c:pt idx="83">
                  <c:v>69.902801513671804</c:v>
                </c:pt>
                <c:pt idx="84">
                  <c:v>71.377487182617102</c:v>
                </c:pt>
                <c:pt idx="85">
                  <c:v>70.228370666503906</c:v>
                </c:pt>
                <c:pt idx="86">
                  <c:v>71.222007751464801</c:v>
                </c:pt>
                <c:pt idx="87">
                  <c:v>72.290977478027301</c:v>
                </c:pt>
                <c:pt idx="88">
                  <c:v>73.036804199218693</c:v>
                </c:pt>
                <c:pt idx="89">
                  <c:v>73.792381286621094</c:v>
                </c:pt>
                <c:pt idx="90">
                  <c:v>75.548751831054602</c:v>
                </c:pt>
                <c:pt idx="91">
                  <c:v>76.737541198730398</c:v>
                </c:pt>
                <c:pt idx="92">
                  <c:v>75.860557556152301</c:v>
                </c:pt>
                <c:pt idx="93">
                  <c:v>74.944618225097599</c:v>
                </c:pt>
                <c:pt idx="94">
                  <c:v>75.405036926269503</c:v>
                </c:pt>
                <c:pt idx="95">
                  <c:v>74.959243774414006</c:v>
                </c:pt>
                <c:pt idx="96">
                  <c:v>76.725357055664006</c:v>
                </c:pt>
                <c:pt idx="97">
                  <c:v>76.282020568847599</c:v>
                </c:pt>
                <c:pt idx="98">
                  <c:v>77.765548706054602</c:v>
                </c:pt>
                <c:pt idx="99">
                  <c:v>77.185760498046804</c:v>
                </c:pt>
                <c:pt idx="100">
                  <c:v>77.6827392578125</c:v>
                </c:pt>
                <c:pt idx="101">
                  <c:v>77.156539916992102</c:v>
                </c:pt>
                <c:pt idx="102">
                  <c:v>77.492713928222599</c:v>
                </c:pt>
                <c:pt idx="103">
                  <c:v>77.526824951171804</c:v>
                </c:pt>
                <c:pt idx="104">
                  <c:v>77.4512939453125</c:v>
                </c:pt>
                <c:pt idx="105">
                  <c:v>78.403793334960895</c:v>
                </c:pt>
                <c:pt idx="106">
                  <c:v>78.766754150390597</c:v>
                </c:pt>
                <c:pt idx="107">
                  <c:v>79.200363159179602</c:v>
                </c:pt>
                <c:pt idx="108">
                  <c:v>78.518280029296804</c:v>
                </c:pt>
                <c:pt idx="109">
                  <c:v>80.754562377929602</c:v>
                </c:pt>
                <c:pt idx="110">
                  <c:v>81.232009887695298</c:v>
                </c:pt>
                <c:pt idx="111">
                  <c:v>83.797157287597599</c:v>
                </c:pt>
                <c:pt idx="112">
                  <c:v>85.953048706054602</c:v>
                </c:pt>
                <c:pt idx="113">
                  <c:v>81.826416015625</c:v>
                </c:pt>
                <c:pt idx="114">
                  <c:v>82.532859802246094</c:v>
                </c:pt>
                <c:pt idx="115">
                  <c:v>83.553573608398395</c:v>
                </c:pt>
                <c:pt idx="116">
                  <c:v>85.767921447753906</c:v>
                </c:pt>
                <c:pt idx="117">
                  <c:v>85.6485595703125</c:v>
                </c:pt>
                <c:pt idx="118">
                  <c:v>85.682678222656193</c:v>
                </c:pt>
                <c:pt idx="119">
                  <c:v>85.193000793457003</c:v>
                </c:pt>
                <c:pt idx="120">
                  <c:v>87.4219970703125</c:v>
                </c:pt>
                <c:pt idx="121">
                  <c:v>89.287986755371094</c:v>
                </c:pt>
                <c:pt idx="122">
                  <c:v>87.711875915527301</c:v>
                </c:pt>
                <c:pt idx="123">
                  <c:v>88.876319885253906</c:v>
                </c:pt>
                <c:pt idx="124">
                  <c:v>86.145515441894503</c:v>
                </c:pt>
                <c:pt idx="125">
                  <c:v>88.130867004394503</c:v>
                </c:pt>
                <c:pt idx="126">
                  <c:v>88.866554260253906</c:v>
                </c:pt>
                <c:pt idx="127">
                  <c:v>88.698478698730398</c:v>
                </c:pt>
                <c:pt idx="128">
                  <c:v>88.698478698730398</c:v>
                </c:pt>
                <c:pt idx="129">
                  <c:v>91.071174621582003</c:v>
                </c:pt>
                <c:pt idx="130">
                  <c:v>90.788589477539006</c:v>
                </c:pt>
                <c:pt idx="131">
                  <c:v>92.903060913085895</c:v>
                </c:pt>
                <c:pt idx="132">
                  <c:v>93.302574157714801</c:v>
                </c:pt>
                <c:pt idx="133">
                  <c:v>93.465797424316406</c:v>
                </c:pt>
                <c:pt idx="134">
                  <c:v>93.034614562988196</c:v>
                </c:pt>
                <c:pt idx="135">
                  <c:v>94.574195861816406</c:v>
                </c:pt>
                <c:pt idx="136">
                  <c:v>95.224632263183594</c:v>
                </c:pt>
                <c:pt idx="137">
                  <c:v>94.0528564453125</c:v>
                </c:pt>
                <c:pt idx="138">
                  <c:v>93.862854003906193</c:v>
                </c:pt>
                <c:pt idx="139">
                  <c:v>95.840919494628906</c:v>
                </c:pt>
                <c:pt idx="140">
                  <c:v>94.518157958984304</c:v>
                </c:pt>
                <c:pt idx="141">
                  <c:v>94.783676147460895</c:v>
                </c:pt>
                <c:pt idx="142">
                  <c:v>90.469482421875</c:v>
                </c:pt>
                <c:pt idx="143">
                  <c:v>90.245346069335895</c:v>
                </c:pt>
                <c:pt idx="144">
                  <c:v>92.384185791015597</c:v>
                </c:pt>
                <c:pt idx="145">
                  <c:v>90.866539001464801</c:v>
                </c:pt>
                <c:pt idx="146">
                  <c:v>92.608306884765597</c:v>
                </c:pt>
                <c:pt idx="147">
                  <c:v>93.7288818359375</c:v>
                </c:pt>
                <c:pt idx="148">
                  <c:v>103.54122924804599</c:v>
                </c:pt>
                <c:pt idx="149">
                  <c:v>106.15020751953099</c:v>
                </c:pt>
                <c:pt idx="150">
                  <c:v>106.859115600585</c:v>
                </c:pt>
                <c:pt idx="151">
                  <c:v>107.246437072753</c:v>
                </c:pt>
                <c:pt idx="152">
                  <c:v>110.98818206787099</c:v>
                </c:pt>
                <c:pt idx="153">
                  <c:v>108.464782714843</c:v>
                </c:pt>
                <c:pt idx="154">
                  <c:v>110.041297912597</c:v>
                </c:pt>
                <c:pt idx="155">
                  <c:v>106.76869964599599</c:v>
                </c:pt>
                <c:pt idx="156">
                  <c:v>110.31707000732401</c:v>
                </c:pt>
                <c:pt idx="157">
                  <c:v>112.269409179687</c:v>
                </c:pt>
                <c:pt idx="158">
                  <c:v>112.16936492919901</c:v>
                </c:pt>
                <c:pt idx="159">
                  <c:v>111.87651824951099</c:v>
                </c:pt>
                <c:pt idx="160">
                  <c:v>112.80873870849599</c:v>
                </c:pt>
                <c:pt idx="161">
                  <c:v>112.95028686523401</c:v>
                </c:pt>
                <c:pt idx="162">
                  <c:v>115.45660400390599</c:v>
                </c:pt>
                <c:pt idx="163">
                  <c:v>121.406372070312</c:v>
                </c:pt>
                <c:pt idx="164">
                  <c:v>122.85840606689401</c:v>
                </c:pt>
                <c:pt idx="165">
                  <c:v>121.850524902343</c:v>
                </c:pt>
                <c:pt idx="166">
                  <c:v>123.507591247558</c:v>
                </c:pt>
                <c:pt idx="167">
                  <c:v>122.031127929687</c:v>
                </c:pt>
                <c:pt idx="168">
                  <c:v>121.833435058593</c:v>
                </c:pt>
                <c:pt idx="169">
                  <c:v>125.96508026123</c:v>
                </c:pt>
                <c:pt idx="170">
                  <c:v>130.98262023925699</c:v>
                </c:pt>
                <c:pt idx="171">
                  <c:v>128.26885986328099</c:v>
                </c:pt>
                <c:pt idx="172">
                  <c:v>117.99951171875</c:v>
                </c:pt>
                <c:pt idx="173">
                  <c:v>118.07762145996</c:v>
                </c:pt>
                <c:pt idx="174">
                  <c:v>110.13158416748</c:v>
                </c:pt>
                <c:pt idx="175">
                  <c:v>114.524353027343</c:v>
                </c:pt>
                <c:pt idx="176">
                  <c:v>110.78561401367099</c:v>
                </c:pt>
                <c:pt idx="177">
                  <c:v>109.33113861083901</c:v>
                </c:pt>
                <c:pt idx="178">
                  <c:v>112.611083984375</c:v>
                </c:pt>
                <c:pt idx="179">
                  <c:v>112.78678894042901</c:v>
                </c:pt>
                <c:pt idx="180">
                  <c:v>109.458030700683</c:v>
                </c:pt>
                <c:pt idx="181">
                  <c:v>107.710693359375</c:v>
                </c:pt>
                <c:pt idx="182">
                  <c:v>104.29409790039</c:v>
                </c:pt>
                <c:pt idx="183">
                  <c:v>107.45687103271401</c:v>
                </c:pt>
                <c:pt idx="184">
                  <c:v>109.14564514160099</c:v>
                </c:pt>
                <c:pt idx="185">
                  <c:v>104.567405700683</c:v>
                </c:pt>
                <c:pt idx="186">
                  <c:v>105.641220092773</c:v>
                </c:pt>
                <c:pt idx="187">
                  <c:v>109.60446929931599</c:v>
                </c:pt>
                <c:pt idx="188">
                  <c:v>112.220611572265</c:v>
                </c:pt>
                <c:pt idx="189">
                  <c:v>111.37133026123</c:v>
                </c:pt>
                <c:pt idx="190">
                  <c:v>113.05034637451099</c:v>
                </c:pt>
                <c:pt idx="191">
                  <c:v>114.00698852539</c:v>
                </c:pt>
                <c:pt idx="192">
                  <c:v>110.326820373535</c:v>
                </c:pt>
                <c:pt idx="193">
                  <c:v>113.723907470703</c:v>
                </c:pt>
                <c:pt idx="194">
                  <c:v>110.463493347167</c:v>
                </c:pt>
                <c:pt idx="195">
                  <c:v>112.33773803710901</c:v>
                </c:pt>
                <c:pt idx="196">
                  <c:v>112.230346679687</c:v>
                </c:pt>
                <c:pt idx="197">
                  <c:v>114.18270874023401</c:v>
                </c:pt>
                <c:pt idx="198">
                  <c:v>121.435661315917</c:v>
                </c:pt>
                <c:pt idx="199">
                  <c:v>118.21427154541</c:v>
                </c:pt>
                <c:pt idx="200">
                  <c:v>118.30216217041</c:v>
                </c:pt>
                <c:pt idx="201">
                  <c:v>117.83358764648401</c:v>
                </c:pt>
                <c:pt idx="202">
                  <c:v>116.183860778808</c:v>
                </c:pt>
                <c:pt idx="203">
                  <c:v>113.216300964355</c:v>
                </c:pt>
                <c:pt idx="204">
                  <c:v>114.709838867187</c:v>
                </c:pt>
                <c:pt idx="205">
                  <c:v>114.085075378417</c:v>
                </c:pt>
                <c:pt idx="206">
                  <c:v>112.991775512695</c:v>
                </c:pt>
                <c:pt idx="207">
                  <c:v>112.298713684082</c:v>
                </c:pt>
                <c:pt idx="208">
                  <c:v>112.308448791503</c:v>
                </c:pt>
                <c:pt idx="209">
                  <c:v>113.82150268554599</c:v>
                </c:pt>
                <c:pt idx="210">
                  <c:v>108.55019378662099</c:v>
                </c:pt>
                <c:pt idx="211">
                  <c:v>112.57203674316401</c:v>
                </c:pt>
                <c:pt idx="212">
                  <c:v>106.265968322753</c:v>
                </c:pt>
                <c:pt idx="213">
                  <c:v>106.178092956542</c:v>
                </c:pt>
                <c:pt idx="214">
                  <c:v>107.808303833007</c:v>
                </c:pt>
                <c:pt idx="215">
                  <c:v>112.21086120605401</c:v>
                </c:pt>
                <c:pt idx="216">
                  <c:v>116.19361877441401</c:v>
                </c:pt>
                <c:pt idx="217">
                  <c:v>116.06160736083901</c:v>
                </c:pt>
                <c:pt idx="218">
                  <c:v>113.744079589843</c:v>
                </c:pt>
                <c:pt idx="219">
                  <c:v>113.401847839355</c:v>
                </c:pt>
                <c:pt idx="220">
                  <c:v>116.84389495849599</c:v>
                </c:pt>
                <c:pt idx="221">
                  <c:v>116.570098876953</c:v>
                </c:pt>
                <c:pt idx="222">
                  <c:v>116.618995666503</c:v>
                </c:pt>
                <c:pt idx="223">
                  <c:v>117.63595581054599</c:v>
                </c:pt>
                <c:pt idx="224">
                  <c:v>116.74610137939401</c:v>
                </c:pt>
                <c:pt idx="225">
                  <c:v>115.416221618652</c:v>
                </c:pt>
                <c:pt idx="226">
                  <c:v>116.012718200683</c:v>
                </c:pt>
                <c:pt idx="227">
                  <c:v>114.741493225097</c:v>
                </c:pt>
                <c:pt idx="228">
                  <c:v>111.32878875732401</c:v>
                </c:pt>
                <c:pt idx="229">
                  <c:v>112.61954498291</c:v>
                </c:pt>
                <c:pt idx="230">
                  <c:v>113.46051025390599</c:v>
                </c:pt>
                <c:pt idx="231">
                  <c:v>114.008094787597</c:v>
                </c:pt>
                <c:pt idx="232">
                  <c:v>116.4136428833</c:v>
                </c:pt>
                <c:pt idx="233">
                  <c:v>120.00236511230401</c:v>
                </c:pt>
                <c:pt idx="234">
                  <c:v>120.35438537597599</c:v>
                </c:pt>
                <c:pt idx="235">
                  <c:v>120.217491149902</c:v>
                </c:pt>
                <c:pt idx="236">
                  <c:v>119.542770385742</c:v>
                </c:pt>
                <c:pt idx="237">
                  <c:v>121.009552001953</c:v>
                </c:pt>
                <c:pt idx="238">
                  <c:v>121.625610351562</c:v>
                </c:pt>
                <c:pt idx="239">
                  <c:v>119.08318328857401</c:v>
                </c:pt>
                <c:pt idx="240">
                  <c:v>120.510848999023</c:v>
                </c:pt>
                <c:pt idx="241">
                  <c:v>119.69922637939401</c:v>
                </c:pt>
                <c:pt idx="242">
                  <c:v>119.08318328857401</c:v>
                </c:pt>
                <c:pt idx="243">
                  <c:v>125.04810333251901</c:v>
                </c:pt>
                <c:pt idx="244">
                  <c:v>124.97963714599599</c:v>
                </c:pt>
                <c:pt idx="245">
                  <c:v>125.84994506835901</c:v>
                </c:pt>
                <c:pt idx="246">
                  <c:v>123.85511779785099</c:v>
                </c:pt>
                <c:pt idx="247">
                  <c:v>125.390342712402</c:v>
                </c:pt>
                <c:pt idx="248">
                  <c:v>128.95948791503901</c:v>
                </c:pt>
                <c:pt idx="249">
                  <c:v>128.05992126464801</c:v>
                </c:pt>
                <c:pt idx="250">
                  <c:v>129.04751586914</c:v>
                </c:pt>
                <c:pt idx="251">
                  <c:v>133.66300964355401</c:v>
                </c:pt>
                <c:pt idx="252">
                  <c:v>131.88328552246</c:v>
                </c:pt>
                <c:pt idx="253">
                  <c:v>130.75877380371</c:v>
                </c:pt>
                <c:pt idx="254">
                  <c:v>129.75158691406199</c:v>
                </c:pt>
                <c:pt idx="255">
                  <c:v>126.54418182373</c:v>
                </c:pt>
                <c:pt idx="256">
                  <c:v>128.108795166015</c:v>
                </c:pt>
                <c:pt idx="257">
                  <c:v>123.79644775390599</c:v>
                </c:pt>
                <c:pt idx="258">
                  <c:v>128.02079772949199</c:v>
                </c:pt>
                <c:pt idx="259">
                  <c:v>129.12574768066401</c:v>
                </c:pt>
                <c:pt idx="260">
                  <c:v>126.123718261718</c:v>
                </c:pt>
                <c:pt idx="261">
                  <c:v>125.94773101806599</c:v>
                </c:pt>
                <c:pt idx="262">
                  <c:v>127.991439819335</c:v>
                </c:pt>
                <c:pt idx="263">
                  <c:v>126.05531311035099</c:v>
                </c:pt>
                <c:pt idx="264">
                  <c:v>124.324485778808</c:v>
                </c:pt>
                <c:pt idx="265">
                  <c:v>124.99919891357401</c:v>
                </c:pt>
                <c:pt idx="266">
                  <c:v>129.10621643066401</c:v>
                </c:pt>
                <c:pt idx="267">
                  <c:v>133.83897399902301</c:v>
                </c:pt>
                <c:pt idx="268">
                  <c:v>135.99028015136699</c:v>
                </c:pt>
                <c:pt idx="269">
                  <c:v>139.75503540039</c:v>
                </c:pt>
                <c:pt idx="270">
                  <c:v>139.98971557617099</c:v>
                </c:pt>
                <c:pt idx="271">
                  <c:v>138.91407775878901</c:v>
                </c:pt>
                <c:pt idx="272">
                  <c:v>134.05412292480401</c:v>
                </c:pt>
                <c:pt idx="273">
                  <c:v>129.03775024414</c:v>
                </c:pt>
                <c:pt idx="274">
                  <c:v>131.16949462890599</c:v>
                </c:pt>
                <c:pt idx="275">
                  <c:v>132.00068664550699</c:v>
                </c:pt>
                <c:pt idx="276">
                  <c:v>130.97389221191401</c:v>
                </c:pt>
                <c:pt idx="277">
                  <c:v>134.34750366210901</c:v>
                </c:pt>
                <c:pt idx="278">
                  <c:v>133.93125915527301</c:v>
                </c:pt>
                <c:pt idx="279">
                  <c:v>134.07818603515599</c:v>
                </c:pt>
                <c:pt idx="280">
                  <c:v>133.19677734375</c:v>
                </c:pt>
                <c:pt idx="281">
                  <c:v>132.58963012695301</c:v>
                </c:pt>
                <c:pt idx="282">
                  <c:v>132.33500671386699</c:v>
                </c:pt>
                <c:pt idx="283">
                  <c:v>132.570053100585</c:v>
                </c:pt>
                <c:pt idx="284">
                  <c:v>130.435134887695</c:v>
                </c:pt>
                <c:pt idx="285">
                  <c:v>128.13375854492099</c:v>
                </c:pt>
                <c:pt idx="286">
                  <c:v>127.02710723876901</c:v>
                </c:pt>
                <c:pt idx="287">
                  <c:v>127.18380737304599</c:v>
                </c:pt>
                <c:pt idx="288">
                  <c:v>123.39385223388599</c:v>
                </c:pt>
                <c:pt idx="289">
                  <c:v>123.25672912597599</c:v>
                </c:pt>
                <c:pt idx="290">
                  <c:v>122.757278442382</c:v>
                </c:pt>
                <c:pt idx="291">
                  <c:v>118.48748016357401</c:v>
                </c:pt>
                <c:pt idx="292">
                  <c:v>118.75187683105401</c:v>
                </c:pt>
                <c:pt idx="293">
                  <c:v>125.146835327148</c:v>
                </c:pt>
                <c:pt idx="294">
                  <c:v>122.532051086425</c:v>
                </c:pt>
                <c:pt idx="295">
                  <c:v>119.535346984863</c:v>
                </c:pt>
                <c:pt idx="296">
                  <c:v>117.645263671875</c:v>
                </c:pt>
                <c:pt idx="297">
                  <c:v>118.908569335937</c:v>
                </c:pt>
                <c:pt idx="298">
                  <c:v>113.953224182128</c:v>
                </c:pt>
                <c:pt idx="299">
                  <c:v>118.585411071777</c:v>
                </c:pt>
                <c:pt idx="300">
                  <c:v>117.498359680175</c:v>
                </c:pt>
                <c:pt idx="301">
                  <c:v>119.43741607666</c:v>
                </c:pt>
                <c:pt idx="302">
                  <c:v>118.526634216308</c:v>
                </c:pt>
                <c:pt idx="303">
                  <c:v>121.425422668457</c:v>
                </c:pt>
                <c:pt idx="304">
                  <c:v>122.972732543945</c:v>
                </c:pt>
                <c:pt idx="305">
                  <c:v>122.17949676513599</c:v>
                </c:pt>
                <c:pt idx="306">
                  <c:v>118.036994934082</c:v>
                </c:pt>
                <c:pt idx="307">
                  <c:v>117.50814056396401</c:v>
                </c:pt>
                <c:pt idx="308">
                  <c:v>120.83782196044901</c:v>
                </c:pt>
                <c:pt idx="309">
                  <c:v>120.005416870117</c:v>
                </c:pt>
                <c:pt idx="310">
                  <c:v>117.606086730957</c:v>
                </c:pt>
                <c:pt idx="311">
                  <c:v>118.095741271972</c:v>
                </c:pt>
                <c:pt idx="312">
                  <c:v>118.702926635742</c:v>
                </c:pt>
                <c:pt idx="313">
                  <c:v>118.87920379638599</c:v>
                </c:pt>
                <c:pt idx="314">
                  <c:v>117.42001342773401</c:v>
                </c:pt>
                <c:pt idx="315">
                  <c:v>119.623489379882</c:v>
                </c:pt>
                <c:pt idx="316">
                  <c:v>120.45589447021401</c:v>
                </c:pt>
                <c:pt idx="317">
                  <c:v>123.29590606689401</c:v>
                </c:pt>
                <c:pt idx="318">
                  <c:v>123.59951019287099</c:v>
                </c:pt>
                <c:pt idx="319">
                  <c:v>125.25453186035099</c:v>
                </c:pt>
                <c:pt idx="320">
                  <c:v>127.663673400878</c:v>
                </c:pt>
                <c:pt idx="321">
                  <c:v>130.24905395507801</c:v>
                </c:pt>
                <c:pt idx="322">
                  <c:v>128.52548217773401</c:v>
                </c:pt>
                <c:pt idx="323">
                  <c:v>131.649490356445</c:v>
                </c:pt>
                <c:pt idx="324">
                  <c:v>129.29913330078099</c:v>
                </c:pt>
                <c:pt idx="325">
                  <c:v>131.71804809570301</c:v>
                </c:pt>
                <c:pt idx="326">
                  <c:v>131.38507080078099</c:v>
                </c:pt>
                <c:pt idx="327">
                  <c:v>132.05099487304599</c:v>
                </c:pt>
                <c:pt idx="328">
                  <c:v>130.35678100585901</c:v>
                </c:pt>
                <c:pt idx="329">
                  <c:v>130.73872375488199</c:v>
                </c:pt>
                <c:pt idx="330">
                  <c:v>129.21096801757801</c:v>
                </c:pt>
                <c:pt idx="331">
                  <c:v>131.54177856445301</c:v>
                </c:pt>
                <c:pt idx="332">
                  <c:v>131.93347167968699</c:v>
                </c:pt>
                <c:pt idx="333">
                  <c:v>131.6103515625</c:v>
                </c:pt>
                <c:pt idx="334">
                  <c:v>130.81707763671801</c:v>
                </c:pt>
                <c:pt idx="335">
                  <c:v>130.71913146972599</c:v>
                </c:pt>
                <c:pt idx="336">
                  <c:v>128.74093627929599</c:v>
                </c:pt>
                <c:pt idx="337">
                  <c:v>129.798568725585</c:v>
                </c:pt>
                <c:pt idx="338">
                  <c:v>125.20556640625</c:v>
                </c:pt>
                <c:pt idx="339">
                  <c:v>125.45040893554599</c:v>
                </c:pt>
                <c:pt idx="340">
                  <c:v>127.05648803710901</c:v>
                </c:pt>
                <c:pt idx="341">
                  <c:v>127.733360290527</c:v>
                </c:pt>
                <c:pt idx="342">
                  <c:v>124.43726348876901</c:v>
                </c:pt>
                <c:pt idx="343">
                  <c:v>123.51514434814401</c:v>
                </c:pt>
                <c:pt idx="344">
                  <c:v>120.43487548828099</c:v>
                </c:pt>
                <c:pt idx="345">
                  <c:v>122.59303283691401</c:v>
                </c:pt>
                <c:pt idx="346">
                  <c:v>125.025840759277</c:v>
                </c:pt>
                <c:pt idx="347">
                  <c:v>123.868293762207</c:v>
                </c:pt>
                <c:pt idx="348">
                  <c:v>122.47531127929599</c:v>
                </c:pt>
                <c:pt idx="349">
                  <c:v>122.318359375</c:v>
                </c:pt>
                <c:pt idx="350">
                  <c:v>124.888526916503</c:v>
                </c:pt>
                <c:pt idx="351">
                  <c:v>123.04427337646401</c:v>
                </c:pt>
                <c:pt idx="352">
                  <c:v>124.68251800537099</c:v>
                </c:pt>
                <c:pt idx="353">
                  <c:v>124.48631286621</c:v>
                </c:pt>
                <c:pt idx="354">
                  <c:v>124.43726348876901</c:v>
                </c:pt>
                <c:pt idx="355">
                  <c:v>122.897132873535</c:v>
                </c:pt>
                <c:pt idx="356">
                  <c:v>122.239875793457</c:v>
                </c:pt>
                <c:pt idx="357">
                  <c:v>121.91615295410099</c:v>
                </c:pt>
                <c:pt idx="358">
                  <c:v>122.681312561035</c:v>
                </c:pt>
                <c:pt idx="359">
                  <c:v>121.190216064453</c:v>
                </c:pt>
                <c:pt idx="360">
                  <c:v>123.49552154541</c:v>
                </c:pt>
                <c:pt idx="361">
                  <c:v>123.505332946777</c:v>
                </c:pt>
                <c:pt idx="362">
                  <c:v>124.32935333251901</c:v>
                </c:pt>
                <c:pt idx="363">
                  <c:v>124.711952209472</c:v>
                </c:pt>
                <c:pt idx="364">
                  <c:v>123.711334228515</c:v>
                </c:pt>
                <c:pt idx="365">
                  <c:v>124.927757263183</c:v>
                </c:pt>
                <c:pt idx="366">
                  <c:v>127.99821472167901</c:v>
                </c:pt>
                <c:pt idx="367">
                  <c:v>127.174194335937</c:v>
                </c:pt>
                <c:pt idx="368">
                  <c:v>127.67448425292901</c:v>
                </c:pt>
                <c:pt idx="369">
                  <c:v>129.28329467773401</c:v>
                </c:pt>
                <c:pt idx="370">
                  <c:v>127.978637695312</c:v>
                </c:pt>
                <c:pt idx="371">
                  <c:v>129.78361511230401</c:v>
                </c:pt>
                <c:pt idx="372">
                  <c:v>131.43167114257801</c:v>
                </c:pt>
                <c:pt idx="373">
                  <c:v>131.156982421875</c:v>
                </c:pt>
                <c:pt idx="374">
                  <c:v>130.87252807617099</c:v>
                </c:pt>
                <c:pt idx="375">
                  <c:v>130.57817077636699</c:v>
                </c:pt>
                <c:pt idx="376">
                  <c:v>132.21643066406199</c:v>
                </c:pt>
                <c:pt idx="377">
                  <c:v>133.73696899414</c:v>
                </c:pt>
                <c:pt idx="378">
                  <c:v>134.35496520996</c:v>
                </c:pt>
                <c:pt idx="379">
                  <c:v>134.65911865234301</c:v>
                </c:pt>
                <c:pt idx="380">
                  <c:v>137.29794311523401</c:v>
                </c:pt>
                <c:pt idx="381">
                  <c:v>139.31872558593699</c:v>
                </c:pt>
                <c:pt idx="382">
                  <c:v>141.820220947265</c:v>
                </c:pt>
                <c:pt idx="383">
                  <c:v>140.51554870605401</c:v>
                </c:pt>
                <c:pt idx="384">
                  <c:v>142.34996032714801</c:v>
                </c:pt>
                <c:pt idx="385">
                  <c:v>141.75155639648401</c:v>
                </c:pt>
                <c:pt idx="386">
                  <c:v>142.86990356445301</c:v>
                </c:pt>
                <c:pt idx="387">
                  <c:v>146.31309509277301</c:v>
                </c:pt>
                <c:pt idx="388">
                  <c:v>145.65586853027301</c:v>
                </c:pt>
                <c:pt idx="389">
                  <c:v>143.60560607910099</c:v>
                </c:pt>
                <c:pt idx="390">
                  <c:v>139.74055480957</c:v>
                </c:pt>
                <c:pt idx="391">
                  <c:v>143.370193481445</c:v>
                </c:pt>
                <c:pt idx="392">
                  <c:v>142.63446044921801</c:v>
                </c:pt>
                <c:pt idx="393">
                  <c:v>144.00782775878901</c:v>
                </c:pt>
                <c:pt idx="394">
                  <c:v>145.73432922363199</c:v>
                </c:pt>
                <c:pt idx="395">
                  <c:v>146.15614318847599</c:v>
                </c:pt>
                <c:pt idx="396">
                  <c:v>143.97837829589801</c:v>
                </c:pt>
                <c:pt idx="397">
                  <c:v>142.22242736816401</c:v>
                </c:pt>
                <c:pt idx="398">
                  <c:v>142.86990356445301</c:v>
                </c:pt>
                <c:pt idx="399">
                  <c:v>143.085693359375</c:v>
                </c:pt>
                <c:pt idx="400">
                  <c:v>142.75215148925699</c:v>
                </c:pt>
                <c:pt idx="401">
                  <c:v>144.55714416503901</c:v>
                </c:pt>
                <c:pt idx="402">
                  <c:v>144.15493774414</c:v>
                </c:pt>
                <c:pt idx="403">
                  <c:v>144.26286315917901</c:v>
                </c:pt>
                <c:pt idx="404">
                  <c:v>143.57514953613199</c:v>
                </c:pt>
                <c:pt idx="405">
                  <c:v>143.52601623535099</c:v>
                </c:pt>
                <c:pt idx="406">
                  <c:v>143.04464721679599</c:v>
                </c:pt>
                <c:pt idx="407">
                  <c:v>143.30006408691401</c:v>
                </c:pt>
                <c:pt idx="408">
                  <c:v>146.27691650390599</c:v>
                </c:pt>
                <c:pt idx="409">
                  <c:v>146.48320007324199</c:v>
                </c:pt>
                <c:pt idx="410">
                  <c:v>148.46775817871</c:v>
                </c:pt>
                <c:pt idx="411">
                  <c:v>147.55407714843699</c:v>
                </c:pt>
                <c:pt idx="412">
                  <c:v>143.79130554199199</c:v>
                </c:pt>
                <c:pt idx="413">
                  <c:v>144.12532043457</c:v>
                </c:pt>
                <c:pt idx="414">
                  <c:v>145.58918762207</c:v>
                </c:pt>
                <c:pt idx="415">
                  <c:v>147.08250427246</c:v>
                </c:pt>
                <c:pt idx="416">
                  <c:v>146.99406433105401</c:v>
                </c:pt>
                <c:pt idx="417">
                  <c:v>145.75616455078099</c:v>
                </c:pt>
                <c:pt idx="418">
                  <c:v>144.95057678222599</c:v>
                </c:pt>
                <c:pt idx="419">
                  <c:v>145.99198913574199</c:v>
                </c:pt>
                <c:pt idx="420">
                  <c:v>150.43264770507801</c:v>
                </c:pt>
                <c:pt idx="421">
                  <c:v>149.16531372070301</c:v>
                </c:pt>
                <c:pt idx="422">
                  <c:v>149.83334350585901</c:v>
                </c:pt>
                <c:pt idx="423">
                  <c:v>150.95333862304599</c:v>
                </c:pt>
                <c:pt idx="424">
                  <c:v>151.59193420410099</c:v>
                </c:pt>
                <c:pt idx="425">
                  <c:v>153.94003295898401</c:v>
                </c:pt>
                <c:pt idx="426">
                  <c:v>152.38771057128901</c:v>
                </c:pt>
                <c:pt idx="427">
                  <c:v>151.36598205566401</c:v>
                </c:pt>
                <c:pt idx="428">
                  <c:v>146.35551452636699</c:v>
                </c:pt>
                <c:pt idx="429">
                  <c:v>146.92529296875</c:v>
                </c:pt>
                <c:pt idx="430">
                  <c:v>145.52040100097599</c:v>
                </c:pt>
                <c:pt idx="431">
                  <c:v>146.41441345214801</c:v>
                </c:pt>
                <c:pt idx="432">
                  <c:v>146.17864990234301</c:v>
                </c:pt>
                <c:pt idx="433">
                  <c:v>143.49655151367099</c:v>
                </c:pt>
                <c:pt idx="434">
                  <c:v>140.43132019042901</c:v>
                </c:pt>
                <c:pt idx="435">
                  <c:v>140.91270446777301</c:v>
                </c:pt>
                <c:pt idx="436">
                  <c:v>143.29025268554599</c:v>
                </c:pt>
                <c:pt idx="437">
                  <c:v>144.25306701660099</c:v>
                </c:pt>
                <c:pt idx="438">
                  <c:v>144.34149169921801</c:v>
                </c:pt>
                <c:pt idx="439">
                  <c:v>142.81866455078099</c:v>
                </c:pt>
                <c:pt idx="440">
                  <c:v>139.41940307617099</c:v>
                </c:pt>
                <c:pt idx="441">
                  <c:v>140.32325744628901</c:v>
                </c:pt>
                <c:pt idx="442">
                  <c:v>139.01663208007801</c:v>
                </c:pt>
                <c:pt idx="443">
                  <c:v>140.14643859863199</c:v>
                </c:pt>
                <c:pt idx="444">
                  <c:v>136.69801330566401</c:v>
                </c:pt>
                <c:pt idx="445">
                  <c:v>138.63343811035099</c:v>
                </c:pt>
                <c:pt idx="446">
                  <c:v>139.5078125</c:v>
                </c:pt>
                <c:pt idx="447">
                  <c:v>140.77517700195301</c:v>
                </c:pt>
                <c:pt idx="448">
                  <c:v>140.39201354980401</c:v>
                </c:pt>
                <c:pt idx="449">
                  <c:v>140.303619384765</c:v>
                </c:pt>
                <c:pt idx="450">
                  <c:v>139.02642822265599</c:v>
                </c:pt>
                <c:pt idx="451">
                  <c:v>138.43693542480401</c:v>
                </c:pt>
                <c:pt idx="452">
                  <c:v>141.23693847656199</c:v>
                </c:pt>
                <c:pt idx="453">
                  <c:v>142.29795837402301</c:v>
                </c:pt>
                <c:pt idx="454">
                  <c:v>143.97795104980401</c:v>
                </c:pt>
                <c:pt idx="455">
                  <c:v>146.149169921875</c:v>
                </c:pt>
                <c:pt idx="456">
                  <c:v>146.64041137695301</c:v>
                </c:pt>
                <c:pt idx="457">
                  <c:v>146.85655212402301</c:v>
                </c:pt>
                <c:pt idx="458">
                  <c:v>146.08041381835901</c:v>
                </c:pt>
                <c:pt idx="459">
                  <c:v>146.03123474121</c:v>
                </c:pt>
                <c:pt idx="460">
                  <c:v>146.69937133789</c:v>
                </c:pt>
                <c:pt idx="461">
                  <c:v>146.23759460449199</c:v>
                </c:pt>
                <c:pt idx="462">
                  <c:v>149.892318725585</c:v>
                </c:pt>
                <c:pt idx="463">
                  <c:v>147.17091369628901</c:v>
                </c:pt>
                <c:pt idx="464">
                  <c:v>146.34565734863199</c:v>
                </c:pt>
                <c:pt idx="465">
                  <c:v>147.38705444335901</c:v>
                </c:pt>
                <c:pt idx="466">
                  <c:v>148.831283569335</c:v>
                </c:pt>
                <c:pt idx="467">
                  <c:v>148.31056213378901</c:v>
                </c:pt>
                <c:pt idx="468">
                  <c:v>148.84185791015599</c:v>
                </c:pt>
                <c:pt idx="469">
                  <c:v>148.01539611816401</c:v>
                </c:pt>
                <c:pt idx="470">
                  <c:v>148.37942504882801</c:v>
                </c:pt>
                <c:pt idx="471">
                  <c:v>145.53601074218699</c:v>
                </c:pt>
                <c:pt idx="472">
                  <c:v>145.48681640625</c:v>
                </c:pt>
                <c:pt idx="473">
                  <c:v>147.572662353515</c:v>
                </c:pt>
                <c:pt idx="474">
                  <c:v>147.58248901367099</c:v>
                </c:pt>
                <c:pt idx="475">
                  <c:v>148.56637573242099</c:v>
                </c:pt>
                <c:pt idx="476">
                  <c:v>151.01625061035099</c:v>
                </c:pt>
                <c:pt idx="477">
                  <c:v>155.32565307617099</c:v>
                </c:pt>
                <c:pt idx="478">
                  <c:v>157.96243286132801</c:v>
                </c:pt>
                <c:pt idx="479">
                  <c:v>158.42489624023401</c:v>
                </c:pt>
                <c:pt idx="480">
                  <c:v>158.80859375</c:v>
                </c:pt>
                <c:pt idx="481">
                  <c:v>159.33004760742099</c:v>
                </c:pt>
                <c:pt idx="482">
                  <c:v>154.28276062011699</c:v>
                </c:pt>
                <c:pt idx="483">
                  <c:v>157.65744018554599</c:v>
                </c:pt>
                <c:pt idx="484">
                  <c:v>162.63591003417901</c:v>
                </c:pt>
                <c:pt idx="485">
                  <c:v>162.11444091796801</c:v>
                </c:pt>
                <c:pt idx="486">
                  <c:v>161.12072753906199</c:v>
                </c:pt>
                <c:pt idx="487">
                  <c:v>159.231689453125</c:v>
                </c:pt>
                <c:pt idx="488">
                  <c:v>162.65557861328099</c:v>
                </c:pt>
                <c:pt idx="489">
                  <c:v>168.421142578125</c:v>
                </c:pt>
                <c:pt idx="490">
                  <c:v>172.25823974609301</c:v>
                </c:pt>
                <c:pt idx="491">
                  <c:v>171.74664306640599</c:v>
                </c:pt>
                <c:pt idx="492">
                  <c:v>176.55783081054599</c:v>
                </c:pt>
                <c:pt idx="493">
                  <c:v>172.90765380859301</c:v>
                </c:pt>
                <c:pt idx="494">
                  <c:v>171.52037048339801</c:v>
                </c:pt>
                <c:pt idx="495">
                  <c:v>176.41029357910099</c:v>
                </c:pt>
                <c:pt idx="496">
                  <c:v>169.48374938964801</c:v>
                </c:pt>
                <c:pt idx="497">
                  <c:v>168.38175964355401</c:v>
                </c:pt>
                <c:pt idx="498">
                  <c:v>167.01419067382801</c:v>
                </c:pt>
                <c:pt idx="499">
                  <c:v>170.20196533203099</c:v>
                </c:pt>
                <c:pt idx="500">
                  <c:v>172.80924987792901</c:v>
                </c:pt>
                <c:pt idx="501">
                  <c:v>173.43893432617099</c:v>
                </c:pt>
                <c:pt idx="502">
                  <c:v>177.42367553710901</c:v>
                </c:pt>
                <c:pt idx="503">
                  <c:v>176.40042114257801</c:v>
                </c:pt>
                <c:pt idx="504">
                  <c:v>176.488998413085</c:v>
                </c:pt>
                <c:pt idx="505">
                  <c:v>175.32797241210901</c:v>
                </c:pt>
                <c:pt idx="506">
                  <c:v>174.70817565917901</c:v>
                </c:pt>
                <c:pt idx="507">
                  <c:v>179.07659912109301</c:v>
                </c:pt>
                <c:pt idx="508">
                  <c:v>176.80383300781199</c:v>
                </c:pt>
                <c:pt idx="509">
                  <c:v>172.10086059570301</c:v>
                </c:pt>
                <c:pt idx="510">
                  <c:v>169.227935791015</c:v>
                </c:pt>
                <c:pt idx="511">
                  <c:v>169.39518737792901</c:v>
                </c:pt>
                <c:pt idx="512">
                  <c:v>169.41484069824199</c:v>
                </c:pt>
                <c:pt idx="513">
                  <c:v>172.25823974609301</c:v>
                </c:pt>
                <c:pt idx="514">
                  <c:v>172.70103454589801</c:v>
                </c:pt>
                <c:pt idx="515">
                  <c:v>169.41484069824199</c:v>
                </c:pt>
                <c:pt idx="516">
                  <c:v>170.28068542480401</c:v>
                </c:pt>
                <c:pt idx="517">
                  <c:v>167.06336975097599</c:v>
                </c:pt>
                <c:pt idx="518">
                  <c:v>163.55091857910099</c:v>
                </c:pt>
                <c:pt idx="519">
                  <c:v>161.858627319335</c:v>
                </c:pt>
                <c:pt idx="520">
                  <c:v>159.79251098632801</c:v>
                </c:pt>
                <c:pt idx="521">
                  <c:v>159.015213012695</c:v>
                </c:pt>
                <c:pt idx="522">
                  <c:v>157.20486450195301</c:v>
                </c:pt>
                <c:pt idx="523">
                  <c:v>157.11631774902301</c:v>
                </c:pt>
                <c:pt idx="524">
                  <c:v>156.65386962890599</c:v>
                </c:pt>
                <c:pt idx="525">
                  <c:v>167.58483886718699</c:v>
                </c:pt>
                <c:pt idx="526">
                  <c:v>171.963119506835</c:v>
                </c:pt>
                <c:pt idx="527">
                  <c:v>171.7958984375</c:v>
                </c:pt>
                <c:pt idx="528">
                  <c:v>173.00605773925699</c:v>
                </c:pt>
                <c:pt idx="529">
                  <c:v>170.11341857910099</c:v>
                </c:pt>
                <c:pt idx="530">
                  <c:v>169.82772827148401</c:v>
                </c:pt>
                <c:pt idx="531">
                  <c:v>169.10861206054599</c:v>
                </c:pt>
                <c:pt idx="532">
                  <c:v>172.23146057128901</c:v>
                </c:pt>
                <c:pt idx="533">
                  <c:v>173.659912109375</c:v>
                </c:pt>
                <c:pt idx="534">
                  <c:v>169.56173706054599</c:v>
                </c:pt>
                <c:pt idx="535">
                  <c:v>166.13348388671801</c:v>
                </c:pt>
                <c:pt idx="536">
                  <c:v>166.36990356445301</c:v>
                </c:pt>
                <c:pt idx="537">
                  <c:v>170.22178649902301</c:v>
                </c:pt>
                <c:pt idx="538">
                  <c:v>169.9853515625</c:v>
                </c:pt>
                <c:pt idx="539">
                  <c:v>166.36990356445301</c:v>
                </c:pt>
                <c:pt idx="540">
                  <c:v>164.81336975097599</c:v>
                </c:pt>
                <c:pt idx="541">
                  <c:v>161.877685546875</c:v>
                </c:pt>
                <c:pt idx="542">
                  <c:v>157.69087219238199</c:v>
                </c:pt>
                <c:pt idx="543">
                  <c:v>160.32115173339801</c:v>
                </c:pt>
                <c:pt idx="544">
                  <c:v>162.39982604980401</c:v>
                </c:pt>
                <c:pt idx="545">
                  <c:v>162.66578674316401</c:v>
                </c:pt>
                <c:pt idx="546">
                  <c:v>160.77433776855401</c:v>
                </c:pt>
                <c:pt idx="547">
                  <c:v>164.08441162109301</c:v>
                </c:pt>
                <c:pt idx="548">
                  <c:v>163.75930786132801</c:v>
                </c:pt>
                <c:pt idx="549">
                  <c:v>160.74473571777301</c:v>
                </c:pt>
                <c:pt idx="550">
                  <c:v>156.93231201171801</c:v>
                </c:pt>
                <c:pt idx="551">
                  <c:v>155.09994506835901</c:v>
                </c:pt>
                <c:pt idx="552">
                  <c:v>160.52804565429599</c:v>
                </c:pt>
                <c:pt idx="553">
                  <c:v>156.16390991210901</c:v>
                </c:pt>
                <c:pt idx="554">
                  <c:v>152.43020629882801</c:v>
                </c:pt>
                <c:pt idx="555">
                  <c:v>148.38133239746</c:v>
                </c:pt>
                <c:pt idx="556">
                  <c:v>152.78486633300699</c:v>
                </c:pt>
                <c:pt idx="557">
                  <c:v>157.21798706054599</c:v>
                </c:pt>
                <c:pt idx="558">
                  <c:v>158.232650756835</c:v>
                </c:pt>
                <c:pt idx="559">
                  <c:v>161.54273986816401</c:v>
                </c:pt>
                <c:pt idx="560">
                  <c:v>162.92193603515599</c:v>
                </c:pt>
                <c:pt idx="561">
                  <c:v>166.310791015625</c:v>
                </c:pt>
                <c:pt idx="562">
                  <c:v>167.68011474609301</c:v>
                </c:pt>
                <c:pt idx="563">
                  <c:v>171.48275756835901</c:v>
                </c:pt>
                <c:pt idx="564">
                  <c:v>172.12309265136699</c:v>
                </c:pt>
                <c:pt idx="565">
                  <c:v>172.99003601074199</c:v>
                </c:pt>
                <c:pt idx="566">
                  <c:v>176.30009460449199</c:v>
                </c:pt>
                <c:pt idx="567">
                  <c:v>175.12777709960901</c:v>
                </c:pt>
                <c:pt idx="568">
                  <c:v>172.01477050781199</c:v>
                </c:pt>
                <c:pt idx="569">
                  <c:v>171.71917724609301</c:v>
                </c:pt>
                <c:pt idx="570">
                  <c:v>175.78779602050699</c:v>
                </c:pt>
                <c:pt idx="571">
                  <c:v>172.45805358886699</c:v>
                </c:pt>
                <c:pt idx="572">
                  <c:v>169.27607727050699</c:v>
                </c:pt>
                <c:pt idx="573">
                  <c:v>169.58143615722599</c:v>
                </c:pt>
                <c:pt idx="574">
                  <c:v>167.561920166015</c:v>
                </c:pt>
                <c:pt idx="575">
                  <c:v>163.28642272949199</c:v>
                </c:pt>
                <c:pt idx="576">
                  <c:v>165.168045043945</c:v>
                </c:pt>
                <c:pt idx="577">
                  <c:v>167.86729431152301</c:v>
                </c:pt>
                <c:pt idx="578">
                  <c:v>162.83326721191401</c:v>
                </c:pt>
                <c:pt idx="579">
                  <c:v>162.61656188964801</c:v>
                </c:pt>
                <c:pt idx="580">
                  <c:v>164.91188049316401</c:v>
                </c:pt>
                <c:pt idx="581">
                  <c:v>164.74441528320301</c:v>
                </c:pt>
                <c:pt idx="582">
                  <c:v>163.94644165039</c:v>
                </c:pt>
                <c:pt idx="583">
                  <c:v>159.38526916503901</c:v>
                </c:pt>
                <c:pt idx="584">
                  <c:v>160.45907592773401</c:v>
                </c:pt>
                <c:pt idx="585">
                  <c:v>154.469467163085</c:v>
                </c:pt>
                <c:pt idx="586">
                  <c:v>154.24288940429599</c:v>
                </c:pt>
                <c:pt idx="587">
                  <c:v>161.20780944824199</c:v>
                </c:pt>
                <c:pt idx="588">
                  <c:v>155.30680847167901</c:v>
                </c:pt>
                <c:pt idx="589">
                  <c:v>155.612213134765</c:v>
                </c:pt>
                <c:pt idx="590">
                  <c:v>157.109619140625</c:v>
                </c:pt>
                <c:pt idx="591">
                  <c:v>163.55241394042901</c:v>
                </c:pt>
                <c:pt idx="592">
                  <c:v>154.43988037109301</c:v>
                </c:pt>
                <c:pt idx="593">
                  <c:v>155.16993713378901</c:v>
                </c:pt>
                <c:pt idx="594">
                  <c:v>150.01998901367099</c:v>
                </c:pt>
                <c:pt idx="595">
                  <c:v>152.43711853027301</c:v>
                </c:pt>
                <c:pt idx="596">
                  <c:v>144.53459167480401</c:v>
                </c:pt>
                <c:pt idx="597">
                  <c:v>140.64743041992099</c:v>
                </c:pt>
                <c:pt idx="598">
                  <c:v>145.13638305664</c:v>
                </c:pt>
                <c:pt idx="599">
                  <c:v>143.58746337890599</c:v>
                </c:pt>
                <c:pt idx="600">
                  <c:v>147.23785400390599</c:v>
                </c:pt>
                <c:pt idx="601">
                  <c:v>138.93080139160099</c:v>
                </c:pt>
                <c:pt idx="602">
                  <c:v>135.50735473632801</c:v>
                </c:pt>
                <c:pt idx="603">
                  <c:v>135.74412536621</c:v>
                </c:pt>
                <c:pt idx="604">
                  <c:v>141.19007873535099</c:v>
                </c:pt>
                <c:pt idx="605">
                  <c:v>138.47697448730401</c:v>
                </c:pt>
                <c:pt idx="606">
                  <c:v>138.634841918945</c:v>
                </c:pt>
                <c:pt idx="607">
                  <c:v>141.85108947753901</c:v>
                </c:pt>
                <c:pt idx="608">
                  <c:v>147.63246154785099</c:v>
                </c:pt>
                <c:pt idx="609">
                  <c:v>146.84318542480401</c:v>
                </c:pt>
                <c:pt idx="610">
                  <c:v>146.71493530273401</c:v>
                </c:pt>
                <c:pt idx="611">
                  <c:v>149.18142700195301</c:v>
                </c:pt>
                <c:pt idx="612">
                  <c:v>143.429595947265</c:v>
                </c:pt>
                <c:pt idx="613">
                  <c:v>144.179428100585</c:v>
                </c:pt>
                <c:pt idx="614">
                  <c:v>146.71493530273401</c:v>
                </c:pt>
                <c:pt idx="615">
                  <c:v>145.97499084472599</c:v>
                </c:pt>
                <c:pt idx="616">
                  <c:v>140.72637939453099</c:v>
                </c:pt>
                <c:pt idx="617">
                  <c:v>135.290267944335</c:v>
                </c:pt>
                <c:pt idx="618">
                  <c:v>130.11073303222599</c:v>
                </c:pt>
                <c:pt idx="619">
                  <c:v>130.978912353515</c:v>
                </c:pt>
                <c:pt idx="620">
                  <c:v>133.61309814453099</c:v>
                </c:pt>
                <c:pt idx="621">
                  <c:v>128.31512451171801</c:v>
                </c:pt>
                <c:pt idx="622">
                  <c:v>129.79501342773401</c:v>
                </c:pt>
                <c:pt idx="623">
                  <c:v>134.04718017578099</c:v>
                </c:pt>
                <c:pt idx="624">
                  <c:v>133.5341796875</c:v>
                </c:pt>
                <c:pt idx="625">
                  <c:v>136.41500854492099</c:v>
                </c:pt>
                <c:pt idx="626">
                  <c:v>139.759506225585</c:v>
                </c:pt>
                <c:pt idx="627">
                  <c:v>139.759506225585</c:v>
                </c:pt>
                <c:pt idx="628">
                  <c:v>135.59611511230401</c:v>
                </c:pt>
                <c:pt idx="629">
                  <c:v>137.36212158203099</c:v>
                </c:pt>
                <c:pt idx="630">
                  <c:v>134.88577270507801</c:v>
                </c:pt>
                <c:pt idx="631">
                  <c:v>137.066146850585</c:v>
                </c:pt>
                <c:pt idx="632">
                  <c:v>139.66085815429599</c:v>
                </c:pt>
                <c:pt idx="633">
                  <c:v>141.00259399414</c:v>
                </c:pt>
                <c:pt idx="634">
                  <c:v>144.38659667968699</c:v>
                </c:pt>
                <c:pt idx="635">
                  <c:v>145.06733703613199</c:v>
                </c:pt>
                <c:pt idx="636">
                  <c:v>142.92646789550699</c:v>
                </c:pt>
                <c:pt idx="637">
                  <c:v>143.90319824218699</c:v>
                </c:pt>
                <c:pt idx="638">
                  <c:v>143.53813171386699</c:v>
                </c:pt>
                <c:pt idx="639">
                  <c:v>146.47816467285099</c:v>
                </c:pt>
                <c:pt idx="640">
                  <c:v>148.155349731445</c:v>
                </c:pt>
                <c:pt idx="641">
                  <c:v>145.09695434570301</c:v>
                </c:pt>
                <c:pt idx="642">
                  <c:v>148.97422790527301</c:v>
                </c:pt>
                <c:pt idx="643">
                  <c:v>150.98684692382801</c:v>
                </c:pt>
                <c:pt idx="644">
                  <c:v>153.265853881835</c:v>
                </c:pt>
                <c:pt idx="645">
                  <c:v>152.02275085449199</c:v>
                </c:pt>
                <c:pt idx="646">
                  <c:v>150.89807128906199</c:v>
                </c:pt>
                <c:pt idx="647">
                  <c:v>149.566162109375</c:v>
                </c:pt>
                <c:pt idx="648">
                  <c:v>154.68656921386699</c:v>
                </c:pt>
                <c:pt idx="649">
                  <c:v>155.23902893066401</c:v>
                </c:pt>
                <c:pt idx="650">
                  <c:v>160.32978820800699</c:v>
                </c:pt>
                <c:pt idx="651">
                  <c:v>159.34323120117099</c:v>
                </c:pt>
                <c:pt idx="652">
                  <c:v>157.86334228515599</c:v>
                </c:pt>
                <c:pt idx="653">
                  <c:v>163.90122985839801</c:v>
                </c:pt>
                <c:pt idx="654">
                  <c:v>163.58554077148401</c:v>
                </c:pt>
                <c:pt idx="655">
                  <c:v>163.35829162597599</c:v>
                </c:pt>
                <c:pt idx="656">
                  <c:v>162.88406372070301</c:v>
                </c:pt>
                <c:pt idx="657">
                  <c:v>162.933502197265</c:v>
                </c:pt>
                <c:pt idx="658">
                  <c:v>167.20146179199199</c:v>
                </c:pt>
                <c:pt idx="659">
                  <c:v>166.46047973632801</c:v>
                </c:pt>
                <c:pt idx="660">
                  <c:v>170.02697753906199</c:v>
                </c:pt>
                <c:pt idx="661">
                  <c:v>171.10386657714801</c:v>
                </c:pt>
                <c:pt idx="662">
                  <c:v>170.94578552246</c:v>
                </c:pt>
                <c:pt idx="663">
                  <c:v>172.447494506835</c:v>
                </c:pt>
                <c:pt idx="664">
                  <c:v>172.05229187011699</c:v>
                </c:pt>
                <c:pt idx="665">
                  <c:v>169.45397949218699</c:v>
                </c:pt>
                <c:pt idx="666">
                  <c:v>165.55154418945301</c:v>
                </c:pt>
                <c:pt idx="667">
                  <c:v>165.21563720703099</c:v>
                </c:pt>
                <c:pt idx="668">
                  <c:v>165.51202392578099</c:v>
                </c:pt>
                <c:pt idx="669">
                  <c:v>167.98191833496</c:v>
                </c:pt>
                <c:pt idx="670">
                  <c:v>161.64913940429599</c:v>
                </c:pt>
                <c:pt idx="671">
                  <c:v>159.43609619140599</c:v>
                </c:pt>
                <c:pt idx="672">
                  <c:v>156.99586486816401</c:v>
                </c:pt>
                <c:pt idx="673">
                  <c:v>155.32621765136699</c:v>
                </c:pt>
                <c:pt idx="674">
                  <c:v>156.05731201171801</c:v>
                </c:pt>
                <c:pt idx="675">
                  <c:v>153.93321228027301</c:v>
                </c:pt>
                <c:pt idx="676">
                  <c:v>152.66862487792901</c:v>
                </c:pt>
                <c:pt idx="677">
                  <c:v>154.08142089843699</c:v>
                </c:pt>
                <c:pt idx="678">
                  <c:v>152.59945678710901</c:v>
                </c:pt>
                <c:pt idx="679">
                  <c:v>155.47444152832</c:v>
                </c:pt>
                <c:pt idx="680">
                  <c:v>161.46144104003901</c:v>
                </c:pt>
                <c:pt idx="681">
                  <c:v>151.98693847656199</c:v>
                </c:pt>
                <c:pt idx="682">
                  <c:v>153.43923950195301</c:v>
                </c:pt>
                <c:pt idx="683">
                  <c:v>150.53463745117099</c:v>
                </c:pt>
                <c:pt idx="684">
                  <c:v>148.88478088378901</c:v>
                </c:pt>
                <c:pt idx="685">
                  <c:v>152.61924743652301</c:v>
                </c:pt>
                <c:pt idx="686">
                  <c:v>155.01007080078099</c:v>
                </c:pt>
                <c:pt idx="687">
                  <c:v>151.86837768554599</c:v>
                </c:pt>
                <c:pt idx="688">
                  <c:v>150.90022277832</c:v>
                </c:pt>
                <c:pt idx="689">
                  <c:v>148.61799621582</c:v>
                </c:pt>
                <c:pt idx="690">
                  <c:v>148.95391845703099</c:v>
                </c:pt>
                <c:pt idx="691">
                  <c:v>149.93197631835901</c:v>
                </c:pt>
                <c:pt idx="692">
                  <c:v>148.03512573242099</c:v>
                </c:pt>
                <c:pt idx="693">
                  <c:v>140.76377868652301</c:v>
                </c:pt>
                <c:pt idx="694">
                  <c:v>136.53532409667901</c:v>
                </c:pt>
                <c:pt idx="695">
                  <c:v>140.73414611816401</c:v>
                </c:pt>
                <c:pt idx="696">
                  <c:v>144.34017944335901</c:v>
                </c:pt>
                <c:pt idx="697">
                  <c:v>144.63653564453099</c:v>
                </c:pt>
                <c:pt idx="698">
                  <c:v>143.67822265625</c:v>
                </c:pt>
                <c:pt idx="699">
                  <c:v>138.40255737304599</c:v>
                </c:pt>
                <c:pt idx="700">
                  <c:v>138.72856140136699</c:v>
                </c:pt>
                <c:pt idx="701">
                  <c:v>137.30592346191401</c:v>
                </c:pt>
                <c:pt idx="702">
                  <c:v>136.67364501953099</c:v>
                </c:pt>
                <c:pt idx="703">
                  <c:v>141.26763916015599</c:v>
                </c:pt>
                <c:pt idx="704">
                  <c:v>136.71318054199199</c:v>
                </c:pt>
                <c:pt idx="705">
                  <c:v>140.69462585449199</c:v>
                </c:pt>
                <c:pt idx="706">
                  <c:v>142.018463134765</c:v>
                </c:pt>
                <c:pt idx="707">
                  <c:v>142.12715148925699</c:v>
                </c:pt>
                <c:pt idx="708">
                  <c:v>141.662826538085</c:v>
                </c:pt>
                <c:pt idx="709">
                  <c:v>145.49607849121</c:v>
                </c:pt>
                <c:pt idx="710">
                  <c:v>147.64982604980401</c:v>
                </c:pt>
                <c:pt idx="711">
                  <c:v>150.50500488281199</c:v>
                </c:pt>
                <c:pt idx="712">
                  <c:v>147.55105590820301</c:v>
                </c:pt>
                <c:pt idx="713">
                  <c:v>143.05583190917901</c:v>
                </c:pt>
                <c:pt idx="714">
                  <c:v>153.86405944824199</c:v>
                </c:pt>
                <c:pt idx="715">
                  <c:v>151.49295043945301</c:v>
                </c:pt>
                <c:pt idx="716">
                  <c:v>148.835357666015</c:v>
                </c:pt>
                <c:pt idx="717">
                  <c:v>143.28309631347599</c:v>
                </c:pt>
                <c:pt idx="718">
                  <c:v>137.20715332031199</c:v>
                </c:pt>
                <c:pt idx="719">
                  <c:v>136.93995666503901</c:v>
                </c:pt>
                <c:pt idx="720">
                  <c:v>137.47433471679599</c:v>
                </c:pt>
                <c:pt idx="721">
                  <c:v>138.04827880859301</c:v>
                </c:pt>
                <c:pt idx="722">
                  <c:v>133.46647644042901</c:v>
                </c:pt>
                <c:pt idx="723">
                  <c:v>145.34159851074199</c:v>
                </c:pt>
                <c:pt idx="724">
                  <c:v>148.14215087890599</c:v>
                </c:pt>
                <c:pt idx="725">
                  <c:v>146.73690795898401</c:v>
                </c:pt>
                <c:pt idx="726">
                  <c:v>148.478591918945</c:v>
                </c:pt>
                <c:pt idx="727">
                  <c:v>147.241607666015</c:v>
                </c:pt>
                <c:pt idx="728">
                  <c:v>149.15151977539</c:v>
                </c:pt>
                <c:pt idx="729">
                  <c:v>149.71560668945301</c:v>
                </c:pt>
                <c:pt idx="730">
                  <c:v>146.46975708007801</c:v>
                </c:pt>
                <c:pt idx="731">
                  <c:v>148.61714172363199</c:v>
                </c:pt>
                <c:pt idx="732">
                  <c:v>149.49790954589801</c:v>
                </c:pt>
                <c:pt idx="733">
                  <c:v>146.56871032714801</c:v>
                </c:pt>
                <c:pt idx="734">
                  <c:v>142.71917724609301</c:v>
                </c:pt>
                <c:pt idx="735">
                  <c:v>139.700912475585</c:v>
                </c:pt>
                <c:pt idx="736">
                  <c:v>146.48953247070301</c:v>
                </c:pt>
                <c:pt idx="737">
                  <c:v>146.7666015625</c:v>
                </c:pt>
                <c:pt idx="738">
                  <c:v>146.27180480957</c:v>
                </c:pt>
                <c:pt idx="739">
                  <c:v>145.10411071777301</c:v>
                </c:pt>
                <c:pt idx="740">
                  <c:v>141.42280578613199</c:v>
                </c:pt>
                <c:pt idx="741">
                  <c:v>139.47329711914</c:v>
                </c:pt>
                <c:pt idx="742">
                  <c:v>141.16552734375</c:v>
                </c:pt>
                <c:pt idx="743">
                  <c:v>140.68061828613199</c:v>
                </c:pt>
                <c:pt idx="744">
                  <c:v>142.98634338378901</c:v>
                </c:pt>
                <c:pt idx="745">
                  <c:v>143.95616149902301</c:v>
                </c:pt>
                <c:pt idx="746">
                  <c:v>141.71966552734301</c:v>
                </c:pt>
                <c:pt idx="747">
                  <c:v>135.07952880859301</c:v>
                </c:pt>
                <c:pt idx="748">
                  <c:v>133.11024475097599</c:v>
                </c:pt>
                <c:pt idx="749">
                  <c:v>130.99249267578099</c:v>
                </c:pt>
                <c:pt idx="750">
                  <c:v>130.92321777343699</c:v>
                </c:pt>
                <c:pt idx="751">
                  <c:v>134.04046630859301</c:v>
                </c:pt>
                <c:pt idx="752">
                  <c:v>130.85392761230401</c:v>
                </c:pt>
                <c:pt idx="753">
                  <c:v>130.48779296875</c:v>
                </c:pt>
                <c:pt idx="754">
                  <c:v>128.67684936523401</c:v>
                </c:pt>
                <c:pt idx="755">
                  <c:v>124.728370666503</c:v>
                </c:pt>
                <c:pt idx="756">
                  <c:v>128.26121520996</c:v>
                </c:pt>
                <c:pt idx="757">
                  <c:v>128.577880859375</c:v>
                </c:pt>
                <c:pt idx="758">
                  <c:v>123.76845550537099</c:v>
                </c:pt>
                <c:pt idx="759">
                  <c:v>125.045028686523</c:v>
                </c:pt>
                <c:pt idx="760">
                  <c:v>123.71898651123</c:v>
                </c:pt>
                <c:pt idx="761">
                  <c:v>128.27110290527301</c:v>
                </c:pt>
                <c:pt idx="762">
                  <c:v>128.79557800292901</c:v>
                </c:pt>
                <c:pt idx="763">
                  <c:v>129.36956787109301</c:v>
                </c:pt>
                <c:pt idx="764">
                  <c:v>132.10087585449199</c:v>
                </c:pt>
                <c:pt idx="765">
                  <c:v>132.02169799804599</c:v>
                </c:pt>
                <c:pt idx="766">
                  <c:v>133.35762023925699</c:v>
                </c:pt>
                <c:pt idx="767">
                  <c:v>134.52534484863199</c:v>
                </c:pt>
                <c:pt idx="768">
                  <c:v>133.80293273925699</c:v>
                </c:pt>
                <c:pt idx="769">
                  <c:v>133.86231994628901</c:v>
                </c:pt>
                <c:pt idx="770">
                  <c:v>136.43522644042901</c:v>
                </c:pt>
                <c:pt idx="771">
                  <c:v>139.64152526855401</c:v>
                </c:pt>
                <c:pt idx="772">
                  <c:v>141.04676818847599</c:v>
                </c:pt>
                <c:pt idx="773">
                  <c:v>140.38372802734301</c:v>
                </c:pt>
                <c:pt idx="774">
                  <c:v>142.46188354492099</c:v>
                </c:pt>
                <c:pt idx="775">
                  <c:v>144.41139221191401</c:v>
                </c:pt>
                <c:pt idx="776">
                  <c:v>141.51187133789</c:v>
                </c:pt>
                <c:pt idx="777">
                  <c:v>142.78845214843699</c:v>
                </c:pt>
                <c:pt idx="778">
                  <c:v>143.91656494140599</c:v>
                </c:pt>
                <c:pt idx="779">
                  <c:v>149.25050354003901</c:v>
                </c:pt>
                <c:pt idx="780">
                  <c:v>152.89219665527301</c:v>
                </c:pt>
                <c:pt idx="781">
                  <c:v>150.15103149414</c:v>
                </c:pt>
                <c:pt idx="782">
                  <c:v>153.04061889648401</c:v>
                </c:pt>
                <c:pt idx="783">
                  <c:v>150.33905029296801</c:v>
                </c:pt>
                <c:pt idx="784">
                  <c:v>149.29998779296801</c:v>
                </c:pt>
                <c:pt idx="785">
                  <c:v>149.66668701171801</c:v>
                </c:pt>
                <c:pt idx="786">
                  <c:v>152.48143005371</c:v>
                </c:pt>
                <c:pt idx="787">
                  <c:v>151.83717346191401</c:v>
                </c:pt>
                <c:pt idx="788">
                  <c:v>153.94825744628901</c:v>
                </c:pt>
                <c:pt idx="789">
                  <c:v>152.34266662597599</c:v>
                </c:pt>
                <c:pt idx="790">
                  <c:v>151.19297790527301</c:v>
                </c:pt>
                <c:pt idx="791">
                  <c:v>147.1591796875</c:v>
                </c:pt>
                <c:pt idx="792">
                  <c:v>147.585357666015</c:v>
                </c:pt>
                <c:pt idx="793">
                  <c:v>148.07098388671801</c:v>
                </c:pt>
                <c:pt idx="794">
                  <c:v>145.40492248535099</c:v>
                </c:pt>
                <c:pt idx="795">
                  <c:v>146.60417175292901</c:v>
                </c:pt>
                <c:pt idx="796">
                  <c:v>146.098709106445</c:v>
                </c:pt>
                <c:pt idx="797">
                  <c:v>144.01737976074199</c:v>
                </c:pt>
                <c:pt idx="798">
                  <c:v>144.612060546875</c:v>
                </c:pt>
                <c:pt idx="799">
                  <c:v>149.68649291992099</c:v>
                </c:pt>
                <c:pt idx="800">
                  <c:v>152.46159362792901</c:v>
                </c:pt>
                <c:pt idx="801">
                  <c:v>150.25143432617099</c:v>
                </c:pt>
                <c:pt idx="802">
                  <c:v>151.51013183593699</c:v>
                </c:pt>
                <c:pt idx="803">
                  <c:v>149.25042724609301</c:v>
                </c:pt>
                <c:pt idx="804">
                  <c:v>147.17901611328099</c:v>
                </c:pt>
                <c:pt idx="805">
                  <c:v>149.13148498535099</c:v>
                </c:pt>
                <c:pt idx="806">
                  <c:v>151.23263549804599</c:v>
                </c:pt>
                <c:pt idx="807">
                  <c:v>151.62908935546801</c:v>
                </c:pt>
                <c:pt idx="808">
                  <c:v>154.46363830566401</c:v>
                </c:pt>
                <c:pt idx="809">
                  <c:v>153.62118530273401</c:v>
                </c:pt>
                <c:pt idx="810">
                  <c:v>155.99983215332</c:v>
                </c:pt>
                <c:pt idx="811">
                  <c:v>157.86312866210901</c:v>
                </c:pt>
                <c:pt idx="812">
                  <c:v>156.426025390625</c:v>
                </c:pt>
                <c:pt idx="813">
                  <c:v>157.51623535156199</c:v>
                </c:pt>
                <c:pt idx="814">
                  <c:v>158.82447814941401</c:v>
                </c:pt>
                <c:pt idx="815">
                  <c:v>156.87200927734301</c:v>
                </c:pt>
                <c:pt idx="816">
                  <c:v>156.24760437011699</c:v>
                </c:pt>
                <c:pt idx="817">
                  <c:v>159.33985900878901</c:v>
                </c:pt>
                <c:pt idx="818">
                  <c:v>160.91571044921801</c:v>
                </c:pt>
                <c:pt idx="819">
                  <c:v>163.43312072753901</c:v>
                </c:pt>
                <c:pt idx="820">
                  <c:v>164.69183349609301</c:v>
                </c:pt>
                <c:pt idx="821">
                  <c:v>164.156646728515</c:v>
                </c:pt>
                <c:pt idx="822">
                  <c:v>162.30326843261699</c:v>
                </c:pt>
                <c:pt idx="823">
                  <c:v>163.19525146484301</c:v>
                </c:pt>
                <c:pt idx="824">
                  <c:v>160.58866882324199</c:v>
                </c:pt>
                <c:pt idx="825">
                  <c:v>159.36961364746</c:v>
                </c:pt>
                <c:pt idx="826">
                  <c:v>158.67581176757801</c:v>
                </c:pt>
                <c:pt idx="827">
                  <c:v>164.08724975585901</c:v>
                </c:pt>
                <c:pt idx="828">
                  <c:v>163.74040222167901</c:v>
                </c:pt>
                <c:pt idx="829">
                  <c:v>163.76017761230401</c:v>
                </c:pt>
                <c:pt idx="830">
                  <c:v>164.98915100097599</c:v>
                </c:pt>
                <c:pt idx="831">
                  <c:v>166.13882446289</c:v>
                </c:pt>
                <c:pt idx="832">
                  <c:v>165.167556762695</c:v>
                </c:pt>
                <c:pt idx="833">
                  <c:v>163.55206298828099</c:v>
                </c:pt>
                <c:pt idx="834">
                  <c:v>163.85931396484301</c:v>
                </c:pt>
                <c:pt idx="835">
                  <c:v>162.31320190429599</c:v>
                </c:pt>
                <c:pt idx="836">
                  <c:v>162.30326843261699</c:v>
                </c:pt>
                <c:pt idx="837">
                  <c:v>166.91191101074199</c:v>
                </c:pt>
                <c:pt idx="838">
                  <c:v>168.17059326171801</c:v>
                </c:pt>
                <c:pt idx="839">
                  <c:v>168.08140563964801</c:v>
                </c:pt>
                <c:pt idx="840">
                  <c:v>167.04074096679599</c:v>
                </c:pt>
                <c:pt idx="841">
                  <c:v>165.96041870117099</c:v>
                </c:pt>
                <c:pt idx="842">
                  <c:v>164.315185546875</c:v>
                </c:pt>
                <c:pt idx="843">
                  <c:v>172.02601623535099</c:v>
                </c:pt>
                <c:pt idx="844">
                  <c:v>171.956619262695</c:v>
                </c:pt>
                <c:pt idx="845">
                  <c:v>170.24200439453099</c:v>
                </c:pt>
                <c:pt idx="846">
                  <c:v>172.01611328125</c:v>
                </c:pt>
                <c:pt idx="847">
                  <c:v>172.20437622070301</c:v>
                </c:pt>
                <c:pt idx="848">
                  <c:v>171.271484375</c:v>
                </c:pt>
                <c:pt idx="849">
                  <c:v>170.77523803710901</c:v>
                </c:pt>
                <c:pt idx="850">
                  <c:v>170.77523803710901</c:v>
                </c:pt>
                <c:pt idx="851">
                  <c:v>171.39057922363199</c:v>
                </c:pt>
                <c:pt idx="852">
                  <c:v>173.73278808593699</c:v>
                </c:pt>
                <c:pt idx="853">
                  <c:v>173.84199523925699</c:v>
                </c:pt>
                <c:pt idx="854">
                  <c:v>172.88919067382801</c:v>
                </c:pt>
                <c:pt idx="855">
                  <c:v>170.26905822753901</c:v>
                </c:pt>
                <c:pt idx="856">
                  <c:v>170.54696655273401</c:v>
                </c:pt>
                <c:pt idx="857">
                  <c:v>171.68830871582</c:v>
                </c:pt>
                <c:pt idx="858">
                  <c:v>174.109939575195</c:v>
                </c:pt>
                <c:pt idx="859">
                  <c:v>175.96588134765599</c:v>
                </c:pt>
                <c:pt idx="860">
                  <c:v>175.916259765625</c:v>
                </c:pt>
                <c:pt idx="861">
                  <c:v>178.73487854003901</c:v>
                </c:pt>
                <c:pt idx="862">
                  <c:v>179.58842468261699</c:v>
                </c:pt>
                <c:pt idx="863">
                  <c:v>178.22871398925699</c:v>
                </c:pt>
                <c:pt idx="864">
                  <c:v>177.86151123046801</c:v>
                </c:pt>
                <c:pt idx="865">
                  <c:v>176.48197937011699</c:v>
                </c:pt>
                <c:pt idx="866">
                  <c:v>179.21127319335901</c:v>
                </c:pt>
                <c:pt idx="867">
                  <c:v>179.59834289550699</c:v>
                </c:pt>
                <c:pt idx="868">
                  <c:v>182.40704345703099</c:v>
                </c:pt>
                <c:pt idx="869">
                  <c:v>181.9306640625</c:v>
                </c:pt>
                <c:pt idx="870">
                  <c:v>182.56585693359301</c:v>
                </c:pt>
                <c:pt idx="871">
                  <c:v>184.61033630371</c:v>
                </c:pt>
                <c:pt idx="872">
                  <c:v>183.52851867675699</c:v>
                </c:pt>
                <c:pt idx="873">
                  <c:v>183.61784362792901</c:v>
                </c:pt>
                <c:pt idx="874">
                  <c:v>182.57577514648401</c:v>
                </c:pt>
                <c:pt idx="875">
                  <c:v>185.59291076660099</c:v>
                </c:pt>
                <c:pt idx="876">
                  <c:v>185.27528381347599</c:v>
                </c:pt>
                <c:pt idx="877">
                  <c:v>183.87590026855401</c:v>
                </c:pt>
                <c:pt idx="878">
                  <c:v>186.644927978515</c:v>
                </c:pt>
                <c:pt idx="879">
                  <c:v>187.82595825195301</c:v>
                </c:pt>
                <c:pt idx="880">
                  <c:v>188.16340637207</c:v>
                </c:pt>
                <c:pt idx="881">
                  <c:v>192.51043701171801</c:v>
                </c:pt>
                <c:pt idx="882">
                  <c:v>191.01181030273401</c:v>
                </c:pt>
                <c:pt idx="883">
                  <c:v>189.89030456542901</c:v>
                </c:pt>
                <c:pt idx="884">
                  <c:v>190.36669921875</c:v>
                </c:pt>
                <c:pt idx="885">
                  <c:v>189.24517822265599</c:v>
                </c:pt>
                <c:pt idx="886">
                  <c:v>187.19076538085901</c:v>
                </c:pt>
                <c:pt idx="887">
                  <c:v>186.66476440429599</c:v>
                </c:pt>
                <c:pt idx="888">
                  <c:v>188.34205627441401</c:v>
                </c:pt>
                <c:pt idx="889">
                  <c:v>189.10624694824199</c:v>
                </c:pt>
                <c:pt idx="890">
                  <c:v>189.255126953125</c:v>
                </c:pt>
                <c:pt idx="891">
                  <c:v>192.53030395507801</c:v>
                </c:pt>
                <c:pt idx="892">
                  <c:v>192.272216796875</c:v>
                </c:pt>
                <c:pt idx="893">
                  <c:v>193.63194274902301</c:v>
                </c:pt>
                <c:pt idx="894">
                  <c:v>191.6767578125</c:v>
                </c:pt>
                <c:pt idx="895">
                  <c:v>190.49572753906199</c:v>
                </c:pt>
                <c:pt idx="896">
                  <c:v>191.29963684082</c:v>
                </c:pt>
                <c:pt idx="897">
                  <c:v>192.16307067871</c:v>
                </c:pt>
                <c:pt idx="898">
                  <c:v>193.03645324707</c:v>
                </c:pt>
                <c:pt idx="899">
                  <c:v>191.76606750488199</c:v>
                </c:pt>
                <c:pt idx="900">
                  <c:v>194.3564453125</c:v>
                </c:pt>
                <c:pt idx="901">
                  <c:v>194.97178649902301</c:v>
                </c:pt>
                <c:pt idx="902">
                  <c:v>194.138092041015</c:v>
                </c:pt>
                <c:pt idx="903">
                  <c:v>191.13090515136699</c:v>
                </c:pt>
                <c:pt idx="904">
                  <c:v>189.73149108886699</c:v>
                </c:pt>
                <c:pt idx="905">
                  <c:v>180.62059020996</c:v>
                </c:pt>
                <c:pt idx="906">
                  <c:v>177.50421142578099</c:v>
                </c:pt>
                <c:pt idx="907">
                  <c:v>178.44706726074199</c:v>
                </c:pt>
                <c:pt idx="908">
                  <c:v>176.84918212890599</c:v>
                </c:pt>
                <c:pt idx="909">
                  <c:v>176.63082885742099</c:v>
                </c:pt>
                <c:pt idx="910">
                  <c:v>176.69047546386699</c:v>
                </c:pt>
                <c:pt idx="911">
                  <c:v>178.35014343261699</c:v>
                </c:pt>
                <c:pt idx="912">
                  <c:v>176.35255432128901</c:v>
                </c:pt>
                <c:pt idx="913">
                  <c:v>175.47801208496</c:v>
                </c:pt>
                <c:pt idx="914">
                  <c:v>172.923904418945</c:v>
                </c:pt>
                <c:pt idx="915">
                  <c:v>173.410873413085</c:v>
                </c:pt>
                <c:pt idx="916">
                  <c:v>174.752517700195</c:v>
                </c:pt>
                <c:pt idx="917">
                  <c:v>176.13392639160099</c:v>
                </c:pt>
                <c:pt idx="918">
                  <c:v>179.99986267089801</c:v>
                </c:pt>
                <c:pt idx="919">
                  <c:v>175.28918457031199</c:v>
                </c:pt>
                <c:pt idx="920">
                  <c:v>177.50540161132801</c:v>
                </c:pt>
                <c:pt idx="921">
                  <c:v>179.07563781738199</c:v>
                </c:pt>
                <c:pt idx="922">
                  <c:v>182.98132324218699</c:v>
                </c:pt>
                <c:pt idx="923">
                  <c:v>186.489501953125</c:v>
                </c:pt>
                <c:pt idx="924">
                  <c:v>186.70811462402301</c:v>
                </c:pt>
                <c:pt idx="925">
                  <c:v>188.288314819335</c:v>
                </c:pt>
                <c:pt idx="926">
                  <c:v>188.52679443359301</c:v>
                </c:pt>
                <c:pt idx="927">
                  <c:v>181.77880859375</c:v>
                </c:pt>
                <c:pt idx="928">
                  <c:v>176.46188354492099</c:v>
                </c:pt>
                <c:pt idx="929">
                  <c:v>177.07804870605401</c:v>
                </c:pt>
                <c:pt idx="930">
                  <c:v>178.25076293945301</c:v>
                </c:pt>
                <c:pt idx="931">
                  <c:v>175.20968627929599</c:v>
                </c:pt>
                <c:pt idx="932">
                  <c:v>173.13262939453099</c:v>
                </c:pt>
                <c:pt idx="933">
                  <c:v>174.65315246582</c:v>
                </c:pt>
                <c:pt idx="934">
                  <c:v>173.927642822265</c:v>
                </c:pt>
                <c:pt idx="935">
                  <c:v>176.86935424804599</c:v>
                </c:pt>
                <c:pt idx="936">
                  <c:v>177.96257019042901</c:v>
                </c:pt>
                <c:pt idx="937">
                  <c:v>174.404693603515</c:v>
                </c:pt>
                <c:pt idx="938">
                  <c:v>172.85433959960901</c:v>
                </c:pt>
                <c:pt idx="939">
                  <c:v>173.70899963378901</c:v>
                </c:pt>
                <c:pt idx="940">
                  <c:v>174.99102783203099</c:v>
                </c:pt>
                <c:pt idx="941">
                  <c:v>170.89653015136699</c:v>
                </c:pt>
                <c:pt idx="942">
                  <c:v>169.3759765625</c:v>
                </c:pt>
                <c:pt idx="943">
                  <c:v>169.63438415527301</c:v>
                </c:pt>
                <c:pt idx="944">
                  <c:v>170.15116882324199</c:v>
                </c:pt>
                <c:pt idx="945">
                  <c:v>172.67544555664</c:v>
                </c:pt>
                <c:pt idx="946">
                  <c:v>171.33381652832</c:v>
                </c:pt>
                <c:pt idx="947">
                  <c:v>172.58599853515599</c:v>
                </c:pt>
                <c:pt idx="948">
                  <c:v>173.82829284667901</c:v>
                </c:pt>
                <c:pt idx="949">
                  <c:v>176.392318725585</c:v>
                </c:pt>
                <c:pt idx="950">
                  <c:v>177.883041381835</c:v>
                </c:pt>
                <c:pt idx="951">
                  <c:v>177.28674316406199</c:v>
                </c:pt>
                <c:pt idx="952">
                  <c:v>178.68803405761699</c:v>
                </c:pt>
                <c:pt idx="953">
                  <c:v>179.59242248535099</c:v>
                </c:pt>
                <c:pt idx="954">
                  <c:v>177.743896484375</c:v>
                </c:pt>
                <c:pt idx="955">
                  <c:v>177.61473083496</c:v>
                </c:pt>
                <c:pt idx="956">
                  <c:v>176.054428100585</c:v>
                </c:pt>
                <c:pt idx="957">
                  <c:v>174.752517700195</c:v>
                </c:pt>
                <c:pt idx="958">
                  <c:v>174.37489318847599</c:v>
                </c:pt>
                <c:pt idx="959">
                  <c:v>171.81082153320301</c:v>
                </c:pt>
                <c:pt idx="960">
                  <c:v>171.93009948730401</c:v>
                </c:pt>
                <c:pt idx="961">
                  <c:v>172.36738586425699</c:v>
                </c:pt>
                <c:pt idx="962">
                  <c:v>170.04185485839801</c:v>
                </c:pt>
                <c:pt idx="963">
                  <c:v>165.85787963867099</c:v>
                </c:pt>
                <c:pt idx="964">
                  <c:v>167.17964172363199</c:v>
                </c:pt>
                <c:pt idx="965">
                  <c:v>169.23681640625</c:v>
                </c:pt>
                <c:pt idx="966">
                  <c:v>169.71388244628901</c:v>
                </c:pt>
                <c:pt idx="967">
                  <c:v>172.89410400390599</c:v>
                </c:pt>
                <c:pt idx="968">
                  <c:v>176.47181701660099</c:v>
                </c:pt>
                <c:pt idx="969">
                  <c:v>175.55751037597599</c:v>
                </c:pt>
                <c:pt idx="970">
                  <c:v>178.12156677246</c:v>
                </c:pt>
                <c:pt idx="971">
                  <c:v>180.695541381835</c:v>
                </c:pt>
                <c:pt idx="972">
                  <c:v>181.75892639160099</c:v>
                </c:pt>
                <c:pt idx="973">
                  <c:v>181.28189086914</c:v>
                </c:pt>
                <c:pt idx="974">
                  <c:v>185.49127197265599</c:v>
                </c:pt>
                <c:pt idx="975">
                  <c:v>183.89906311035099</c:v>
                </c:pt>
                <c:pt idx="976">
                  <c:v>186.52622985839801</c:v>
                </c:pt>
                <c:pt idx="977">
                  <c:v>187.09342956542901</c:v>
                </c:pt>
                <c:pt idx="978">
                  <c:v>188.78514099121</c:v>
                </c:pt>
                <c:pt idx="979">
                  <c:v>188.76522827148401</c:v>
                </c:pt>
                <c:pt idx="980">
                  <c:v>190.51664733886699</c:v>
                </c:pt>
                <c:pt idx="981">
                  <c:v>189.71058654785099</c:v>
                </c:pt>
                <c:pt idx="982">
                  <c:v>190.37733459472599</c:v>
                </c:pt>
                <c:pt idx="983">
                  <c:v>189.04386901855401</c:v>
                </c:pt>
                <c:pt idx="984">
                  <c:v>188.86473083496</c:v>
                </c:pt>
                <c:pt idx="985">
                  <c:v>189.471755981445</c:v>
                </c:pt>
                <c:pt idx="986">
                  <c:v>188.44680786132801</c:v>
                </c:pt>
                <c:pt idx="987">
                  <c:v>189.02397155761699</c:v>
                </c:pt>
                <c:pt idx="988">
                  <c:v>190.30767822265599</c:v>
                </c:pt>
                <c:pt idx="989">
                  <c:v>188.50648498535099</c:v>
                </c:pt>
                <c:pt idx="990">
                  <c:v>192.47705078125</c:v>
                </c:pt>
                <c:pt idx="991">
                  <c:v>191.382400512695</c:v>
                </c:pt>
                <c:pt idx="992">
                  <c:v>193.32290649414</c:v>
                </c:pt>
                <c:pt idx="993">
                  <c:v>194.75588989257801</c:v>
                </c:pt>
                <c:pt idx="994">
                  <c:v>192.23822021484301</c:v>
                </c:pt>
                <c:pt idx="995">
                  <c:v>193.76078796386699</c:v>
                </c:pt>
                <c:pt idx="996">
                  <c:v>196.99493408203099</c:v>
                </c:pt>
                <c:pt idx="997">
                  <c:v>197.14419555664</c:v>
                </c:pt>
                <c:pt idx="998">
                  <c:v>196.60682678222599</c:v>
                </c:pt>
                <c:pt idx="999">
                  <c:v>194.93501281738199</c:v>
                </c:pt>
                <c:pt idx="1000">
                  <c:v>195.979888916015</c:v>
                </c:pt>
                <c:pt idx="1001">
                  <c:v>193.88018798828099</c:v>
                </c:pt>
                <c:pt idx="1002">
                  <c:v>193.73089599609301</c:v>
                </c:pt>
                <c:pt idx="1003">
                  <c:v>192.65617370605401</c:v>
                </c:pt>
                <c:pt idx="1004">
                  <c:v>192.10887145996</c:v>
                </c:pt>
                <c:pt idx="1005">
                  <c:v>192.20835876464801</c:v>
                </c:pt>
                <c:pt idx="1006">
                  <c:v>192.63629150390599</c:v>
                </c:pt>
                <c:pt idx="1007">
                  <c:v>191.591384887695</c:v>
                </c:pt>
                <c:pt idx="1008">
                  <c:v>184.73497009277301</c:v>
                </c:pt>
                <c:pt idx="1009">
                  <c:v>183.35174560546801</c:v>
                </c:pt>
                <c:pt idx="1010">
                  <c:v>181.02316284179599</c:v>
                </c:pt>
                <c:pt idx="1011">
                  <c:v>180.29670715332</c:v>
                </c:pt>
                <c:pt idx="1012">
                  <c:v>184.65536499023401</c:v>
                </c:pt>
                <c:pt idx="1013">
                  <c:v>184.23741149902301</c:v>
                </c:pt>
                <c:pt idx="1014">
                  <c:v>185.28228759765599</c:v>
                </c:pt>
                <c:pt idx="1015">
                  <c:v>184.68521118164</c:v>
                </c:pt>
                <c:pt idx="1016">
                  <c:v>185.01361083984301</c:v>
                </c:pt>
                <c:pt idx="1017">
                  <c:v>182.73478698730401</c:v>
                </c:pt>
                <c:pt idx="1018">
                  <c:v>181.78939819335901</c:v>
                </c:pt>
                <c:pt idx="1019">
                  <c:v>187.71041870117099</c:v>
                </c:pt>
                <c:pt idx="1020">
                  <c:v>190.62612915039</c:v>
                </c:pt>
                <c:pt idx="1021">
                  <c:v>192.94476318359301</c:v>
                </c:pt>
                <c:pt idx="1022">
                  <c:v>194.22845458984301</c:v>
                </c:pt>
                <c:pt idx="1023">
                  <c:v>193.55178833007801</c:v>
                </c:pt>
                <c:pt idx="1024">
                  <c:v>193.223373413085</c:v>
                </c:pt>
                <c:pt idx="1025">
                  <c:v>191.48190307617099</c:v>
                </c:pt>
                <c:pt idx="1026">
                  <c:v>190.79530334472599</c:v>
                </c:pt>
                <c:pt idx="1027">
                  <c:v>187.12326049804599</c:v>
                </c:pt>
                <c:pt idx="1028">
                  <c:v>183.50102233886699</c:v>
                </c:pt>
                <c:pt idx="1029">
                  <c:v>185.94903564453099</c:v>
                </c:pt>
                <c:pt idx="1030">
                  <c:v>184.94395446777301</c:v>
                </c:pt>
                <c:pt idx="1031">
                  <c:v>186.76502990722599</c:v>
                </c:pt>
                <c:pt idx="1032">
                  <c:v>188.37715148925699</c:v>
                </c:pt>
                <c:pt idx="1033">
                  <c:v>188.48660278320301</c:v>
                </c:pt>
                <c:pt idx="1034">
                  <c:v>187.40191650390599</c:v>
                </c:pt>
                <c:pt idx="1035">
                  <c:v>188.16914367675699</c:v>
                </c:pt>
                <c:pt idx="1036">
                  <c:v>186.47525024414</c:v>
                </c:pt>
                <c:pt idx="1037">
                  <c:v>184.37286376953099</c:v>
                </c:pt>
                <c:pt idx="1038">
                  <c:v>183.486068725585</c:v>
                </c:pt>
                <c:pt idx="1039">
                  <c:v>183.19712829589801</c:v>
                </c:pt>
                <c:pt idx="1040">
                  <c:v>181.65270996093699</c:v>
                </c:pt>
                <c:pt idx="1041">
                  <c:v>180.90541076660099</c:v>
                </c:pt>
                <c:pt idx="1042">
                  <c:v>181.66268920898401</c:v>
                </c:pt>
                <c:pt idx="1043">
                  <c:v>183.70526123046801</c:v>
                </c:pt>
                <c:pt idx="1044">
                  <c:v>181.86195373535099</c:v>
                </c:pt>
                <c:pt idx="1045">
                  <c:v>180.50686645507801</c:v>
                </c:pt>
                <c:pt idx="1046">
                  <c:v>181.97157287597599</c:v>
                </c:pt>
                <c:pt idx="1047">
                  <c:v>180.76593017578099</c:v>
                </c:pt>
                <c:pt idx="1048">
                  <c:v>180.09834289550699</c:v>
                </c:pt>
                <c:pt idx="1049">
                  <c:v>179.01226806640599</c:v>
                </c:pt>
                <c:pt idx="1050">
                  <c:v>174.46870422363199</c:v>
                </c:pt>
                <c:pt idx="1051">
                  <c:v>169.50666809082</c:v>
                </c:pt>
                <c:pt idx="1052">
                  <c:v>168.51025390625</c:v>
                </c:pt>
                <c:pt idx="1053">
                  <c:v>168.390701293945</c:v>
                </c:pt>
                <c:pt idx="1054">
                  <c:v>170.11447143554599</c:v>
                </c:pt>
                <c:pt idx="1055">
                  <c:v>172.127182006835</c:v>
                </c:pt>
                <c:pt idx="1056">
                  <c:v>172.60543823242099</c:v>
                </c:pt>
                <c:pt idx="1057">
                  <c:v>170.51303100585901</c:v>
                </c:pt>
                <c:pt idx="1058">
                  <c:v>172.37626647949199</c:v>
                </c:pt>
                <c:pt idx="1059">
                  <c:v>171.99765014648401</c:v>
                </c:pt>
                <c:pt idx="1060">
                  <c:v>173.09368896484301</c:v>
                </c:pt>
                <c:pt idx="1061">
                  <c:v>175.44519042968699</c:v>
                </c:pt>
                <c:pt idx="1062">
                  <c:v>178.02581787109301</c:v>
                </c:pt>
                <c:pt idx="1063">
                  <c:v>170.75215148925699</c:v>
                </c:pt>
                <c:pt idx="1064">
                  <c:v>171.65885925292901</c:v>
                </c:pt>
                <c:pt idx="1065">
                  <c:v>170.23403930664</c:v>
                </c:pt>
                <c:pt idx="1066">
                  <c:v>169.09814453125</c:v>
                </c:pt>
                <c:pt idx="1067">
                  <c:v>172.68515014648401</c:v>
                </c:pt>
                <c:pt idx="1068">
                  <c:v>170.86175537109301</c:v>
                </c:pt>
                <c:pt idx="1069">
                  <c:v>169.4169921875</c:v>
                </c:pt>
                <c:pt idx="1070">
                  <c:v>168.23127746582</c:v>
                </c:pt>
                <c:pt idx="1071">
                  <c:v>169.03834533691401</c:v>
                </c:pt>
                <c:pt idx="1072">
                  <c:v>168.21136474609301</c:v>
                </c:pt>
                <c:pt idx="1073">
                  <c:v>168.96859741210901</c:v>
                </c:pt>
                <c:pt idx="1074">
                  <c:v>167.842681884765</c:v>
                </c:pt>
                <c:pt idx="1075">
                  <c:v>169.05827331542901</c:v>
                </c:pt>
                <c:pt idx="1076">
                  <c:v>167.17509460449199</c:v>
                </c:pt>
                <c:pt idx="1077">
                  <c:v>174.408920288085</c:v>
                </c:pt>
                <c:pt idx="1078">
                  <c:v>175.913482666015</c:v>
                </c:pt>
                <c:pt idx="1079">
                  <c:v>172.06739807128901</c:v>
                </c:pt>
                <c:pt idx="1080">
                  <c:v>168.76933288574199</c:v>
                </c:pt>
                <c:pt idx="1081">
                  <c:v>167.39430236816401</c:v>
                </c:pt>
                <c:pt idx="1082">
                  <c:v>166.437744140625</c:v>
                </c:pt>
                <c:pt idx="1083">
                  <c:v>164.40512084960901</c:v>
                </c:pt>
                <c:pt idx="1084">
                  <c:v>165.24208068847599</c:v>
                </c:pt>
                <c:pt idx="1085">
                  <c:v>166.29826354980401</c:v>
                </c:pt>
                <c:pt idx="1086">
                  <c:v>168.41062927246</c:v>
                </c:pt>
                <c:pt idx="1087">
                  <c:v>169.27749633789</c:v>
                </c:pt>
                <c:pt idx="1088">
                  <c:v>168.68962097167901</c:v>
                </c:pt>
                <c:pt idx="1089">
                  <c:v>172.87446594238199</c:v>
                </c:pt>
                <c:pt idx="1090">
                  <c:v>169.715896606445</c:v>
                </c:pt>
                <c:pt idx="1091">
                  <c:v>168.68962097167901</c:v>
                </c:pt>
                <c:pt idx="1092">
                  <c:v>172.40617370605401</c:v>
                </c:pt>
                <c:pt idx="1093">
                  <c:v>182.71885681152301</c:v>
                </c:pt>
                <c:pt idx="1094">
                  <c:v>181.05488586425699</c:v>
                </c:pt>
                <c:pt idx="1095">
                  <c:v>181.74238586425699</c:v>
                </c:pt>
                <c:pt idx="1096">
                  <c:v>182.08117675781199</c:v>
                </c:pt>
                <c:pt idx="1097">
                  <c:v>183.90457153320301</c:v>
                </c:pt>
                <c:pt idx="1098">
                  <c:v>182.63742065429599</c:v>
                </c:pt>
                <c:pt idx="1099">
                  <c:v>185.86015319824199</c:v>
                </c:pt>
                <c:pt idx="1100">
                  <c:v>187.007553100585</c:v>
                </c:pt>
                <c:pt idx="1101">
                  <c:v>189.29240417480401</c:v>
                </c:pt>
                <c:pt idx="1102">
                  <c:v>189.41212463378901</c:v>
                </c:pt>
                <c:pt idx="1103">
                  <c:v>189.44206237792901</c:v>
                </c:pt>
                <c:pt idx="1104">
                  <c:v>190.60942077636699</c:v>
                </c:pt>
                <c:pt idx="1105">
                  <c:v>191.91647338867099</c:v>
                </c:pt>
                <c:pt idx="1106">
                  <c:v>190.46974182128901</c:v>
                </c:pt>
                <c:pt idx="1107">
                  <c:v>186.45880126953099</c:v>
                </c:pt>
                <c:pt idx="1108">
                  <c:v>189.55180358886699</c:v>
                </c:pt>
                <c:pt idx="1109">
                  <c:v>189.56179809570301</c:v>
                </c:pt>
                <c:pt idx="1110">
                  <c:v>189.86111450195301</c:v>
                </c:pt>
                <c:pt idx="1111">
                  <c:v>190.85885620117099</c:v>
                </c:pt>
                <c:pt idx="1112">
                  <c:v>191.81669616699199</c:v>
                </c:pt>
                <c:pt idx="1113">
                  <c:v>193.59266662597599</c:v>
                </c:pt>
                <c:pt idx="1114">
                  <c:v>193.91195678710901</c:v>
                </c:pt>
                <c:pt idx="1115">
                  <c:v>195.42852783203099</c:v>
                </c:pt>
                <c:pt idx="1116">
                  <c:v>194.04165649414</c:v>
                </c:pt>
                <c:pt idx="1117">
                  <c:v>196.44624328613199</c:v>
                </c:pt>
                <c:pt idx="1118">
                  <c:v>192.68472290039</c:v>
                </c:pt>
                <c:pt idx="1119">
                  <c:v>206.68310546875</c:v>
                </c:pt>
                <c:pt idx="1120">
                  <c:v>212.58978271484301</c:v>
                </c:pt>
                <c:pt idx="1121">
                  <c:v>213.75714111328099</c:v>
                </c:pt>
                <c:pt idx="1122">
                  <c:v>212.01107788085901</c:v>
                </c:pt>
                <c:pt idx="1123">
                  <c:v>216.18165588378901</c:v>
                </c:pt>
                <c:pt idx="1124">
                  <c:v>213.80700683593699</c:v>
                </c:pt>
                <c:pt idx="1125">
                  <c:v>209.20741271972599</c:v>
                </c:pt>
                <c:pt idx="1126">
                  <c:v>207.02235412597599</c:v>
                </c:pt>
                <c:pt idx="1127">
                  <c:v>207.67086791992099</c:v>
                </c:pt>
                <c:pt idx="1128">
                  <c:v>208.59878540039</c:v>
                </c:pt>
                <c:pt idx="1129">
                  <c:v>212.76936340332</c:v>
                </c:pt>
                <c:pt idx="1130">
                  <c:v>213.61746215820301</c:v>
                </c:pt>
                <c:pt idx="1131">
                  <c:v>210.14527893066401</c:v>
                </c:pt>
                <c:pt idx="1132">
                  <c:v>216.261474609375</c:v>
                </c:pt>
                <c:pt idx="1133">
                  <c:v>219.77354431152301</c:v>
                </c:pt>
                <c:pt idx="1134">
                  <c:v>221.05065917968699</c:v>
                </c:pt>
                <c:pt idx="1135">
                  <c:v>225.82984924316401</c:v>
                </c:pt>
                <c:pt idx="1136">
                  <c:v>227.30653381347599</c:v>
                </c:pt>
                <c:pt idx="1137">
                  <c:v>228.16458129882801</c:v>
                </c:pt>
                <c:pt idx="1138">
                  <c:v>232.45487976074199</c:v>
                </c:pt>
                <c:pt idx="1139">
                  <c:v>227.05709838867099</c:v>
                </c:pt>
                <c:pt idx="1140">
                  <c:v>230.02038574218699</c:v>
                </c:pt>
                <c:pt idx="1141">
                  <c:v>233.87168884277301</c:v>
                </c:pt>
                <c:pt idx="1142">
                  <c:v>234.290756225585</c:v>
                </c:pt>
                <c:pt idx="1143">
                  <c:v>228.36413574218699</c:v>
                </c:pt>
                <c:pt idx="1144">
                  <c:v>223.674713134765</c:v>
                </c:pt>
                <c:pt idx="1145">
                  <c:v>223.804428100585</c:v>
                </c:pt>
                <c:pt idx="1146">
                  <c:v>223.45523071289</c:v>
                </c:pt>
                <c:pt idx="1147">
                  <c:v>224.50285339355401</c:v>
                </c:pt>
                <c:pt idx="1148">
                  <c:v>218.04742431640599</c:v>
                </c:pt>
                <c:pt idx="1149">
                  <c:v>216.99981689453099</c:v>
                </c:pt>
                <c:pt idx="1150">
                  <c:v>217.46875</c:v>
                </c:pt>
                <c:pt idx="1151">
                  <c:v>217.748123168945</c:v>
                </c:pt>
                <c:pt idx="1152">
                  <c:v>218.30685424804599</c:v>
                </c:pt>
                <c:pt idx="1153">
                  <c:v>221.57946777343699</c:v>
                </c:pt>
                <c:pt idx="1154">
                  <c:v>217.86784362792901</c:v>
                </c:pt>
                <c:pt idx="1155">
                  <c:v>219.36445617675699</c:v>
                </c:pt>
                <c:pt idx="1156">
                  <c:v>208.79833984375</c:v>
                </c:pt>
                <c:pt idx="1157">
                  <c:v>206.762924194335</c:v>
                </c:pt>
                <c:pt idx="1158">
                  <c:v>209.34710693359301</c:v>
                </c:pt>
                <c:pt idx="1159">
                  <c:v>212.82922363281199</c:v>
                </c:pt>
                <c:pt idx="1160">
                  <c:v>215.75263977050699</c:v>
                </c:pt>
                <c:pt idx="1161">
                  <c:v>217.29093933105401</c:v>
                </c:pt>
                <c:pt idx="1162">
                  <c:v>221.02682495117099</c:v>
                </c:pt>
                <c:pt idx="1163">
                  <c:v>221.47633361816401</c:v>
                </c:pt>
                <c:pt idx="1164">
                  <c:v>224.47303771972599</c:v>
                </c:pt>
                <c:pt idx="1165">
                  <c:v>225.80157470703099</c:v>
                </c:pt>
                <c:pt idx="1166">
                  <c:v>225.64175415039</c:v>
                </c:pt>
                <c:pt idx="1167">
                  <c:v>226.26106262207</c:v>
                </c:pt>
                <c:pt idx="1168">
                  <c:v>226.15118408203099</c:v>
                </c:pt>
                <c:pt idx="1169">
                  <c:v>224.28324890136699</c:v>
                </c:pt>
                <c:pt idx="1170">
                  <c:v>226.59069824218699</c:v>
                </c:pt>
                <c:pt idx="1171">
                  <c:v>226.93032836914</c:v>
                </c:pt>
                <c:pt idx="1172">
                  <c:v>227.77938842773401</c:v>
                </c:pt>
                <c:pt idx="1173">
                  <c:v>226.24108886718699</c:v>
                </c:pt>
                <c:pt idx="1174">
                  <c:v>229.53746032714801</c:v>
                </c:pt>
                <c:pt idx="1175">
                  <c:v>228.74833679199199</c:v>
                </c:pt>
                <c:pt idx="1176">
                  <c:v>222.52517700195301</c:v>
                </c:pt>
                <c:pt idx="1177">
                  <c:v>220.60729980468699</c:v>
                </c:pt>
                <c:pt idx="1178">
                  <c:v>222.13560485839801</c:v>
                </c:pt>
                <c:pt idx="1179">
                  <c:v>220.57733154296801</c:v>
                </c:pt>
                <c:pt idx="1180">
                  <c:v>220.667221069335</c:v>
                </c:pt>
                <c:pt idx="1181">
                  <c:v>219.86810302734301</c:v>
                </c:pt>
                <c:pt idx="1182">
                  <c:v>222.41529846191401</c:v>
                </c:pt>
                <c:pt idx="1183">
                  <c:v>222.52517700195301</c:v>
                </c:pt>
                <c:pt idx="1184">
                  <c:v>222.25547790527301</c:v>
                </c:pt>
                <c:pt idx="1185">
                  <c:v>216.082275390625</c:v>
                </c:pt>
                <c:pt idx="1186">
                  <c:v>216.55174255371</c:v>
                </c:pt>
                <c:pt idx="1187">
                  <c:v>220.44746398925699</c:v>
                </c:pt>
                <c:pt idx="1188">
                  <c:v>228.61846923828099</c:v>
                </c:pt>
                <c:pt idx="1189">
                  <c:v>227.94920349121</c:v>
                </c:pt>
                <c:pt idx="1190">
                  <c:v>226.22111511230401</c:v>
                </c:pt>
                <c:pt idx="1191">
                  <c:v>227.1201171875</c:v>
                </c:pt>
                <c:pt idx="1192">
                  <c:v>226.12121582031199</c:v>
                </c:pt>
                <c:pt idx="1193">
                  <c:v>227.26995849609301</c:v>
                </c:pt>
                <c:pt idx="1194">
                  <c:v>227.53965759277301</c:v>
                </c:pt>
                <c:pt idx="1195">
                  <c:v>232.74394226074199</c:v>
                </c:pt>
                <c:pt idx="1196">
                  <c:v>225.96141052246</c:v>
                </c:pt>
                <c:pt idx="1197">
                  <c:v>226.53077697753901</c:v>
                </c:pt>
                <c:pt idx="1198">
                  <c:v>225.42198181152301</c:v>
                </c:pt>
                <c:pt idx="1199">
                  <c:v>226.55075073242099</c:v>
                </c:pt>
                <c:pt idx="1200">
                  <c:v>221.446365356445</c:v>
                </c:pt>
                <c:pt idx="1201">
                  <c:v>225.521881103515</c:v>
                </c:pt>
                <c:pt idx="1202">
                  <c:v>229.28773498535099</c:v>
                </c:pt>
                <c:pt idx="1203">
                  <c:v>228.78828430175699</c:v>
                </c:pt>
                <c:pt idx="1204">
                  <c:v>227.29992675781199</c:v>
                </c:pt>
                <c:pt idx="1205">
                  <c:v>231.045806884765</c:v>
                </c:pt>
                <c:pt idx="1206">
                  <c:v>233.593002319335</c:v>
                </c:pt>
                <c:pt idx="1207">
                  <c:v>231.52526855468699</c:v>
                </c:pt>
                <c:pt idx="1208">
                  <c:v>231.89486694335901</c:v>
                </c:pt>
                <c:pt idx="1209">
                  <c:v>234.74172973632801</c:v>
                </c:pt>
                <c:pt idx="1210">
                  <c:v>236.22010803222599</c:v>
                </c:pt>
                <c:pt idx="1211">
                  <c:v>235.60079956054599</c:v>
                </c:pt>
                <c:pt idx="1212">
                  <c:v>230.50639343261699</c:v>
                </c:pt>
                <c:pt idx="1213">
                  <c:v>230.31661987304599</c:v>
                </c:pt>
                <c:pt idx="1214">
                  <c:v>231.15568542480401</c:v>
                </c:pt>
                <c:pt idx="1215">
                  <c:v>233.14349365234301</c:v>
                </c:pt>
                <c:pt idx="1216">
                  <c:v>233.41319274902301</c:v>
                </c:pt>
                <c:pt idx="1217">
                  <c:v>229.84712219238199</c:v>
                </c:pt>
                <c:pt idx="1218">
                  <c:v>225.66172790527301</c:v>
                </c:pt>
                <c:pt idx="1219">
                  <c:v>222.66502380371</c:v>
                </c:pt>
                <c:pt idx="1220">
                  <c:v>221.76600646972599</c:v>
                </c:pt>
                <c:pt idx="1221">
                  <c:v>223.20442199707</c:v>
                </c:pt>
                <c:pt idx="1222">
                  <c:v>222.47523498535099</c:v>
                </c:pt>
                <c:pt idx="1223">
                  <c:v>227.22999572753901</c:v>
                </c:pt>
                <c:pt idx="1224">
                  <c:v>226.96000671386699</c:v>
                </c:pt>
                <c:pt idx="1225">
                  <c:v>224.22999572753901</c:v>
                </c:pt>
                <c:pt idx="1226">
                  <c:v>224.22999572753901</c:v>
                </c:pt>
                <c:pt idx="1227">
                  <c:v>225.11999511718699</c:v>
                </c:pt>
                <c:pt idx="1228">
                  <c:v>228.22000122070301</c:v>
                </c:pt>
                <c:pt idx="1229">
                  <c:v>225</c:v>
                </c:pt>
                <c:pt idx="1230">
                  <c:v>228.02000427246</c:v>
                </c:pt>
                <c:pt idx="1231">
                  <c:v>228.27999877929599</c:v>
                </c:pt>
                <c:pt idx="1232">
                  <c:v>229</c:v>
                </c:pt>
                <c:pt idx="1233">
                  <c:v>228.52000427246</c:v>
                </c:pt>
                <c:pt idx="1234">
                  <c:v>229.86999511718699</c:v>
                </c:pt>
                <c:pt idx="1235">
                  <c:v>232.86999511718699</c:v>
                </c:pt>
                <c:pt idx="1236">
                  <c:v>235.05999755859301</c:v>
                </c:pt>
                <c:pt idx="1237">
                  <c:v>234.92999267578099</c:v>
                </c:pt>
                <c:pt idx="1238">
                  <c:v>237.33000183105401</c:v>
                </c:pt>
                <c:pt idx="1239">
                  <c:v>239.58999633789</c:v>
                </c:pt>
                <c:pt idx="1240">
                  <c:v>242.64999389648401</c:v>
                </c:pt>
                <c:pt idx="1241">
                  <c:v>243.009994506835</c:v>
                </c:pt>
                <c:pt idx="1242">
                  <c:v>243.03999328613199</c:v>
                </c:pt>
                <c:pt idx="1243">
                  <c:v>242.83999633789</c:v>
                </c:pt>
                <c:pt idx="1244">
                  <c:v>246.75</c:v>
                </c:pt>
                <c:pt idx="1245">
                  <c:v>247.77000427246</c:v>
                </c:pt>
                <c:pt idx="1246">
                  <c:v>246.49000549316401</c:v>
                </c:pt>
                <c:pt idx="1247">
                  <c:v>247.96000671386699</c:v>
                </c:pt>
                <c:pt idx="1248">
                  <c:v>248.13000488281199</c:v>
                </c:pt>
                <c:pt idx="1249">
                  <c:v>251.03999328613199</c:v>
                </c:pt>
                <c:pt idx="1250">
                  <c:v>253.47999572753901</c:v>
                </c:pt>
                <c:pt idx="1251">
                  <c:v>248.05000305175699</c:v>
                </c:pt>
                <c:pt idx="1252">
                  <c:v>249.78999328613199</c:v>
                </c:pt>
                <c:pt idx="1253">
                  <c:v>254.49000549316401</c:v>
                </c:pt>
                <c:pt idx="1254">
                  <c:v>255.27000427246</c:v>
                </c:pt>
                <c:pt idx="1255">
                  <c:v>258.20001220703102</c:v>
                </c:pt>
                <c:pt idx="1256">
                  <c:v>259.01998901367102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4-4EF5-83CB-1E7AD308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729551"/>
        <c:axId val="1458737231"/>
      </c:lineChart>
      <c:dateAx>
        <c:axId val="1458729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000"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fr-FR"/>
          </a:p>
        </c:txPr>
        <c:crossAx val="1458737231"/>
        <c:crosses val="autoZero"/>
        <c:auto val="1"/>
        <c:lblOffset val="100"/>
        <c:baseTimeUnit val="days"/>
      </c:dateAx>
      <c:valAx>
        <c:axId val="14587372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2000"/>
                </a:pPr>
                <a:r>
                  <a:rPr lang="fr-FR"/>
                  <a:t>Closing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fr-FR"/>
          </a:p>
        </c:txPr>
        <c:crossAx val="14587295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 Yield</a:t>
            </a:r>
            <a:r>
              <a:rPr lang="en-US" baseline="0"/>
              <a:t> Curve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'taux finaux'!$C$1</c:f>
              <c:strCache>
                <c:ptCount val="1"/>
                <c:pt idx="0">
                  <c:v>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'taux finaux'!$B$2:$B$14</c:f>
              <c:strCache>
                <c:ptCount val="13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6M</c:v>
                </c:pt>
                <c:pt idx="5">
                  <c:v>1Y</c:v>
                </c:pt>
                <c:pt idx="6">
                  <c:v>2Y</c:v>
                </c:pt>
                <c:pt idx="7">
                  <c:v>3Y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20Y</c:v>
                </c:pt>
                <c:pt idx="12">
                  <c:v>30Y</c:v>
                </c:pt>
              </c:strCache>
            </c:strRef>
          </c:cat>
          <c:val>
            <c:numRef>
              <c:f>'taux finaux'!$C$2:$C$14</c:f>
              <c:numCache>
                <c:formatCode>0.00%</c:formatCode>
                <c:ptCount val="13"/>
                <c:pt idx="0">
                  <c:v>4.3180000000000003E-2</c:v>
                </c:pt>
                <c:pt idx="1">
                  <c:v>4.335E-2</c:v>
                </c:pt>
                <c:pt idx="2">
                  <c:v>4.299E-2</c:v>
                </c:pt>
                <c:pt idx="3">
                  <c:v>4.3290000000000002E-2</c:v>
                </c:pt>
                <c:pt idx="4">
                  <c:v>4.3060000000000001E-2</c:v>
                </c:pt>
                <c:pt idx="5">
                  <c:v>4.2009999999999999E-2</c:v>
                </c:pt>
                <c:pt idx="6">
                  <c:v>4.3200000000000002E-2</c:v>
                </c:pt>
                <c:pt idx="7">
                  <c:v>4.3560000000000001E-2</c:v>
                </c:pt>
                <c:pt idx="8">
                  <c:v>4.4510000000000001E-2</c:v>
                </c:pt>
                <c:pt idx="9">
                  <c:v>4.5339999999999998E-2</c:v>
                </c:pt>
                <c:pt idx="10">
                  <c:v>4.6149999999999997E-2</c:v>
                </c:pt>
                <c:pt idx="11">
                  <c:v>4.8930000000000001E-2</c:v>
                </c:pt>
                <c:pt idx="12">
                  <c:v>4.8099999999999997E-2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DF-473E-B470-C0A3A12FA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982047"/>
        <c:axId val="1538320912"/>
      </c:lineChart>
      <c:catAx>
        <c:axId val="1205982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8320912"/>
        <c:crosses val="autoZero"/>
        <c:auto val="1"/>
        <c:lblAlgn val="ctr"/>
        <c:lblOffset val="100"/>
        <c:noMultiLvlLbl val="0"/>
      </c:catAx>
      <c:valAx>
        <c:axId val="153832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5982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241300</xdr:colOff>
          <xdr:row>19</xdr:row>
          <xdr:rowOff>19050</xdr:rowOff>
        </xdr:from>
        <xdr:to>
          <xdr:col>2</xdr:col>
          <xdr:colOff>1035050</xdr:colOff>
          <xdr:row>23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Récupération Cours de bourse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1466850</xdr:colOff>
          <xdr:row>28</xdr:row>
          <xdr:rowOff>69850</xdr:rowOff>
        </xdr:from>
        <xdr:to>
          <xdr:col>3</xdr:col>
          <xdr:colOff>1238250</xdr:colOff>
          <xdr:row>32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222250</xdr:colOff>
          <xdr:row>28</xdr:row>
          <xdr:rowOff>38100</xdr:rowOff>
        </xdr:from>
        <xdr:to>
          <xdr:col>2</xdr:col>
          <xdr:colOff>1022350</xdr:colOff>
          <xdr:row>32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Calls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234950</xdr:colOff>
          <xdr:row>23</xdr:row>
          <xdr:rowOff>120650</xdr:rowOff>
        </xdr:from>
        <xdr:to>
          <xdr:col>2</xdr:col>
          <xdr:colOff>1028700</xdr:colOff>
          <xdr:row>27</xdr:row>
          <xdr:rowOff>158750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Daily Returns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1466850</xdr:colOff>
          <xdr:row>23</xdr:row>
          <xdr:rowOff>133350</xdr:rowOff>
        </xdr:from>
        <xdr:to>
          <xdr:col>3</xdr:col>
          <xdr:colOff>1238250</xdr:colOff>
          <xdr:row>27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Graphique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241300</xdr:colOff>
          <xdr:row>20</xdr:row>
          <xdr:rowOff>88900</xdr:rowOff>
        </xdr:from>
        <xdr:to>
          <xdr:col>8</xdr:col>
          <xdr:colOff>508000</xdr:colOff>
          <xdr:row>24</xdr:row>
          <xdr:rowOff>127000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API taux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25</xdr:row>
          <xdr:rowOff>165100</xdr:rowOff>
        </xdr:from>
        <xdr:to>
          <xdr:col>8</xdr:col>
          <xdr:colOff>495300</xdr:colOff>
          <xdr:row>30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Recalibrage taux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1473200</xdr:colOff>
          <xdr:row>19</xdr:row>
          <xdr:rowOff>0</xdr:rowOff>
        </xdr:from>
        <xdr:to>
          <xdr:col>3</xdr:col>
          <xdr:colOff>1244600</xdr:colOff>
          <xdr:row>23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Recherche Ticker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609599</xdr:colOff>
      <xdr:row>0</xdr:row>
      <xdr:rowOff>184149</xdr:rowOff>
    </xdr:from>
    <xdr:to>
      <xdr:col>7</xdr:col>
      <xdr:colOff>723900</xdr:colOff>
      <xdr:row>6</xdr:row>
      <xdr:rowOff>57150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C4157215-4CFA-93B7-6528-CB290766EB34}"/>
            </a:ext>
          </a:extLst>
        </xdr:cNvPr>
        <xdr:cNvSpPr txBox="1"/>
      </xdr:nvSpPr>
      <xdr:spPr>
        <a:xfrm>
          <a:off x="6038849" y="184149"/>
          <a:ext cx="2400301" cy="977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kern="1200"/>
            <a:t>1- Rechercher</a:t>
          </a:r>
          <a:r>
            <a:rPr lang="fr-FR" sz="1100" kern="1200" baseline="0"/>
            <a:t> une société en C2</a:t>
          </a:r>
          <a:endParaRPr lang="fr-FR" sz="1100" b="0" i="0" u="none" strike="noStrike" kern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 kern="1200" baseline="0"/>
        </a:p>
        <a:p>
          <a:r>
            <a:rPr lang="fr-FR" sz="1100" kern="1200" baseline="0"/>
            <a:t>2- Indiquer une date début et de fin pour récupérer le prix de l'action sur cette période (C4 et C5)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82550</xdr:colOff>
      <xdr:row>6</xdr:row>
      <xdr:rowOff>165100</xdr:rowOff>
    </xdr:from>
    <xdr:to>
      <xdr:col>19</xdr:col>
      <xdr:colOff>196850</xdr:colOff>
      <xdr:row>48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185809F-ABC6-67D7-1CA4-B87EAEB2F4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</xdr:row>
          <xdr:rowOff>12700</xdr:rowOff>
        </xdr:from>
        <xdr:to>
          <xdr:col>10</xdr:col>
          <xdr:colOff>330200</xdr:colOff>
          <xdr:row>5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Récupération paramètres Black and Scholes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2</xdr:row>
          <xdr:rowOff>12700</xdr:rowOff>
        </xdr:from>
        <xdr:to>
          <xdr:col>7</xdr:col>
          <xdr:colOff>342900</xdr:colOff>
          <xdr:row>5</xdr:row>
          <xdr:rowOff>114300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Récupération Option Similaire sur le Marché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0</xdr:row>
      <xdr:rowOff>104775</xdr:rowOff>
    </xdr:from>
    <xdr:to>
      <xdr:col>11</xdr:col>
      <xdr:colOff>295275</xdr:colOff>
      <xdr:row>20</xdr:row>
      <xdr:rowOff>25400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FE947EB-656B-F142-6B6C-DD1283B19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3CA8BE0-E6CA-44F5-B438-25534712E0E3}" name="closing_prices" displayName="closing_prices" ref="A1:B1258" totalsRowShown="0">
  <autoFilter ref="A1:B1258" xr:uid="{33CA8BE0-E6CA-44F5-B438-25534712E0E3}"/>
  <tableColumns count="2">
    <tableColumn id="1" xr3:uid="{492BBC13-F4C0-4065-B36E-8051BF2ABA7A}" name="Date" dataDxfId="13"/>
    <tableColumn id="2" xr3:uid="{5687F489-EEF1-4C6D-9B20-BB500ADE5A3B}" name="Prix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74407DA-072C-4585-BBFF-067893D06F0A}" name="Taux_US" displayName="Taux_US_1" ref="A1:C14" totalsRowShown="0">
  <autoFilter ref="A1:C14" xr:uid="{774407DA-072C-4585-BBFF-067893D06F0A}"/>
  <tableColumns count="3">
    <tableColumn id="1" xr3:uid="{C3C6F4CC-958F-41D2-8F25-5F8864AA4A66}" name="Country"/>
    <tableColumn id="2" xr3:uid="{6C8AF70A-1F19-4DED-BBFE-A95EC48CFAC1}" name="Time Frame"/>
    <tableColumn id="3" xr3:uid="{75D22D23-835F-41F4-8646-DCDCC099D9D6}" name="Rate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5362B31-11A3-4F0B-8917-2CC2415BB32B}" name="Calls_prices" displayName="Calls_prices" ref="A1:O59" totalsRowShown="0">
  <autoFilter ref="A1:O59" xr:uid="{C5362B31-11A3-4F0B-8917-2CC2415BB32B}"/>
  <tableColumns count="15">
    <tableColumn id="1" xr3:uid="{027F4F59-5EE0-4B4C-AA74-20E8BE78041E}" name="contractSymbol"/>
    <tableColumn id="2" xr3:uid="{5033668A-DB3A-421E-801D-A4403E26BEF6}" name="strike"/>
    <tableColumn id="3" xr3:uid="{58705F0A-350D-4FE4-A880-0412541D4BDE}" name="currency"/>
    <tableColumn id="4" xr3:uid="{0A1BF2E3-EE26-4A89-A919-43AD52AAE138}" name="lastPrice"/>
    <tableColumn id="5" xr3:uid="{111E841D-9D84-4782-8F48-576326731E1E}" name="change"/>
    <tableColumn id="6" xr3:uid="{0D2D04C6-D6B2-458C-A2E8-3B7C11FC9F40}" name="percentChange"/>
    <tableColumn id="7" xr3:uid="{DC1F2AD4-64E9-4F3D-9C4A-2D1DCA687BD7}" name="volume"/>
    <tableColumn id="8" xr3:uid="{6FF3D3F9-3A78-4B15-8C98-0E9525D7ED90}" name="openInterest"/>
    <tableColumn id="9" xr3:uid="{A1E87D95-1464-4421-A6EF-BF7390B179CB}" name="bid"/>
    <tableColumn id="10" xr3:uid="{4265437A-F5D3-4828-B172-D7ED0D3A7522}" name="ask"/>
    <tableColumn id="11" xr3:uid="{F1704C01-CC38-41A6-BAAD-8B813EA357C7}" name="contractSize"/>
    <tableColumn id="12" xr3:uid="{5B6CF34E-3A56-4925-BA45-D0505C0E731D}" name="expiration" dataDxfId="1"/>
    <tableColumn id="13" xr3:uid="{89350F96-AC4C-4EE0-9FC3-799DAEF5F2DE}" name="lastTradeDate" dataDxfId="0"/>
    <tableColumn id="14" xr3:uid="{F17093AB-8E57-46C5-8CB1-463802198CB5}" name="impliedVolatility"/>
    <tableColumn id="15" xr3:uid="{63D44647-D45D-4C4A-9A68-C77FDB0566A1}" name="inTheMone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2C4355-028B-401E-B7D7-E6817A33C512}" name="Puts_prices" displayName="Puts_prices" ref="A1:O22" totalsRowShown="0">
  <autoFilter ref="A1:O22" xr:uid="{512C4355-028B-401E-B7D7-E6817A33C512}"/>
  <tableColumns count="15">
    <tableColumn id="1" xr3:uid="{D12F86F4-5DCA-4F55-955C-2E6DE5DC79C0}" name="contractSymbol"/>
    <tableColumn id="2" xr3:uid="{C7058F83-895E-4324-9F44-C92FBC78D717}" name="strike"/>
    <tableColumn id="3" xr3:uid="{7559AE3F-D785-4D63-882B-328D60AD025D}" name="currency"/>
    <tableColumn id="4" xr3:uid="{827BEC26-741C-4CA7-8D77-EA5BB8F87261}" name="lastPrice"/>
    <tableColumn id="5" xr3:uid="{89D062D0-FEAA-4094-850B-CD697CB84E76}" name="change"/>
    <tableColumn id="6" xr3:uid="{ADC4352A-9842-44C9-A101-3848301A4B36}" name="percentChange"/>
    <tableColumn id="7" xr3:uid="{6AD76664-5167-4D21-80BD-2E22543E4AEF}" name="volume"/>
    <tableColumn id="8" xr3:uid="{B4CF11F9-B32B-432B-8C01-609DCE647BDB}" name="openInterest"/>
    <tableColumn id="9" xr3:uid="{1CCE51DA-58EF-42A8-978D-70473401CA0A}" name="bid"/>
    <tableColumn id="10" xr3:uid="{B278CA89-0BDD-44FE-B522-527CAB94D495}" name="ask"/>
    <tableColumn id="11" xr3:uid="{E13BA377-BE79-4AFB-9163-AE0EF054650D}" name="contractSize"/>
    <tableColumn id="12" xr3:uid="{952FD4A3-4F9F-4F0C-8288-6B8A4994E064}" name="expiration" dataDxfId="16"/>
    <tableColumn id="13" xr3:uid="{D34EE2C8-E91B-4DA6-A727-E87C2B28DCB0}" name="lastTradeDate" dataDxfId="15"/>
    <tableColumn id="14" xr3:uid="{0D7DCE28-D559-436A-A04E-63B7B41BA40B}" name="impliedVolatility" dataDxfId="14"/>
    <tableColumn id="15" xr3:uid="{601970F5-D58D-4946-8EA0-A4F5F45446A1}" name="inTheMone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483AC6-BDAB-41AF-9611-4E3134D58BEE}" name="tickers" displayName="tickers" ref="A1:Q8" totalsRowShown="0">
  <autoFilter ref="A1:Q8" xr:uid="{DD483AC6-BDAB-41AF-9611-4E3134D58BEE}"/>
  <tableColumns count="17">
    <tableColumn id="1" xr3:uid="{DFABC033-654F-491F-9A44-2999D8AD447D}" name="exchange"/>
    <tableColumn id="2" xr3:uid="{F62F8F08-E85A-4CBF-A5E8-8BC7786F9B00}" name="shortname"/>
    <tableColumn id="3" xr3:uid="{BCD43336-D5FC-4974-9FB9-D80A8A3524FA}" name="quoteType"/>
    <tableColumn id="4" xr3:uid="{4EE84D9C-8D48-4966-A0FE-5D1FE2417038}" name="symbol"/>
    <tableColumn id="5" xr3:uid="{34A78868-D94F-4978-9E03-D9CFF5F6F5F1}" name="index"/>
    <tableColumn id="6" xr3:uid="{9BE00E99-343D-464D-AC26-E224DB4E1C07}" name="score"/>
    <tableColumn id="7" xr3:uid="{999C8759-05AC-4EEB-A6FC-C764F11421F2}" name="typeDisp"/>
    <tableColumn id="8" xr3:uid="{FA749E10-B270-4F2B-9DED-27D5EB4762EE}" name="longname"/>
    <tableColumn id="9" xr3:uid="{0B85C52E-183A-472B-9191-BE70BD255E94}" name="exchDisp"/>
    <tableColumn id="10" xr3:uid="{5FDFEA23-806C-40EA-9A40-DD49206295FE}" name="sector"/>
    <tableColumn id="11" xr3:uid="{6305FE27-2F45-4407-B8D4-710DE517C07D}" name="sectorDisp"/>
    <tableColumn id="12" xr3:uid="{6A6D2692-7DE6-402B-B0E9-A7CF89627D4E}" name="industry"/>
    <tableColumn id="13" xr3:uid="{C7919A6F-D3D8-497C-B9B5-7C05BCAB2FFD}" name="industryDisp"/>
    <tableColumn id="14" xr3:uid="{9F6BF5BF-FBCC-4099-A397-7EDC0D1A931E}" name="dispSecIndFlag"/>
    <tableColumn id="15" xr3:uid="{5705AC44-F328-490F-B011-75DBBE1C5AAA}" name="isYahooFinance"/>
    <tableColumn id="16" xr3:uid="{3D794767-529C-4C7E-9EB8-13B5FC43D0B5}" name="prevName"/>
    <tableColumn id="17" xr3:uid="{F031F945-AE84-432C-8455-99BD9898C772}" name="nameChangeDa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60666F6-1283-428C-BE52-4D6AF2ACCCCF}" name="US_rates" displayName="US_rates" ref="A1:AN21" totalsRowShown="0">
  <autoFilter ref="A1:AN21" xr:uid="{660666F6-1283-428C-BE52-4D6AF2ACCCCF}"/>
  <tableColumns count="40">
    <tableColumn id="1" xr3:uid="{9EDDEE27-052B-42D7-AEEA-73948D24D224}" name="symbol"/>
    <tableColumn id="2" xr3:uid="{61481176-70AD-42A0-8BAC-78B35F726CC4}" name="name"/>
    <tableColumn id="3" xr3:uid="{071042BF-C4EF-476C-8D61-5B449639FB7F}" name="shortName"/>
    <tableColumn id="4" xr3:uid="{B25B814C-7707-4ED8-AE95-EC283DBCE4F5}" name="onAirName"/>
    <tableColumn id="5" xr3:uid="{1C8B2335-A9CC-4062-9807-69A79B1D8637}" name="altName"/>
    <tableColumn id="6" xr3:uid="{EC77AC80-5A67-42F7-B5F0-F904BD697CC5}" name="last" dataDxfId="11"/>
    <tableColumn id="7" xr3:uid="{0694CEFF-4599-4784-9163-AE82C6AA7419}" name="last_timedate"/>
    <tableColumn id="8" xr3:uid="{35E2F8EF-7E92-416D-B754-30FF1EB61065}" name="last_time"/>
    <tableColumn id="9" xr3:uid="{16D4BE0A-7A67-4D0A-9EDB-AB84D716A932}" name="changetype"/>
    <tableColumn id="10" xr3:uid="{6CC59E7A-C802-4091-8ECB-7392F9560092}" name="type"/>
    <tableColumn id="11" xr3:uid="{890EA9B8-E750-4E45-A22D-85807A1D2694}" name="subType"/>
    <tableColumn id="12" xr3:uid="{9951F6FD-B15B-4F73-B7CC-5BBA47A14380}" name="exchange"/>
    <tableColumn id="13" xr3:uid="{70F42173-3EE0-4B75-9504-E24386F905AA}" name="source"/>
    <tableColumn id="14" xr3:uid="{B458A0A1-1253-4899-9F10-9D02D67B39AF}" name="open" dataDxfId="10"/>
    <tableColumn id="15" xr3:uid="{FFA3C1CC-2FD5-4D53-9AC1-A44E4ACB118F}" name="high" dataDxfId="9"/>
    <tableColumn id="16" xr3:uid="{8B89C876-A894-49AE-9251-E63E18DD9C83}" name="low" dataDxfId="8"/>
    <tableColumn id="17" xr3:uid="{F995F0C5-6CC1-4BC5-8DA4-7C33BC88E566}" name="change"/>
    <tableColumn id="18" xr3:uid="{E857BFB3-38CF-4F56-9BDE-F74DE62CB928}" name="change_pct" dataDxfId="7"/>
    <tableColumn id="19" xr3:uid="{9E63078B-A213-45ED-856E-E64FEB073987}" name="volume"/>
    <tableColumn id="20" xr3:uid="{95B31A20-5B3B-484F-8B4F-3C51B6F52C67}" name="volume_alt"/>
    <tableColumn id="21" xr3:uid="{3B783700-6894-467F-977B-F3A73C60B51F}" name="previous_day_closing" dataDxfId="6"/>
    <tableColumn id="22" xr3:uid="{3EA19605-AF46-4087-88F0-BCA8A40EB74C}" name="realTime"/>
    <tableColumn id="23" xr3:uid="{31FC3504-F7F3-4173-B7E2-77328A8DF2DD}" name="curmktstatus"/>
    <tableColumn id="24" xr3:uid="{25D4A929-709B-4758-BD87-FE9FC159F28D}" name="yrhiprice"/>
    <tableColumn id="25" xr3:uid="{E0E1C81D-372B-4517-B766-B78B058CA777}" name="yrhidate"/>
    <tableColumn id="26" xr3:uid="{3A1627F6-E1A6-42C1-BCEC-FFD4A0AD32C0}" name="yrloprice"/>
    <tableColumn id="27" xr3:uid="{9A6DADEB-6EEC-47FB-8700-6A9685457C15}" name="yrlodate" dataDxfId="5"/>
    <tableColumn id="28" xr3:uid="{92FCD693-1E03-4EFB-B599-7378DD61BE29}" name="bond_last_price"/>
    <tableColumn id="29" xr3:uid="{627A7CA8-9F75-42E4-968C-3F61E6BFC42F}" name="bond_change_price"/>
    <tableColumn id="30" xr3:uid="{70D3C043-7974-4798-9125-3EF1478CC404}" name="bond_change_pct_price" dataDxfId="4"/>
    <tableColumn id="31" xr3:uid="{AE9DD578-10E8-400D-B1DA-853306C6EFC5}" name="bond_open_price"/>
    <tableColumn id="32" xr3:uid="{02D7B897-A8DF-400B-A291-3CE16FC6EC0D}" name="bond_high_price"/>
    <tableColumn id="33" xr3:uid="{ED594B46-3DCD-48F9-A135-8A28AD30FB55}" name="bond_low_price"/>
    <tableColumn id="34" xr3:uid="{A0F0CBAB-03AB-493B-9D42-125D20A7D1ED}" name="bond_prev_day_closing_price"/>
    <tableColumn id="35" xr3:uid="{CB4B81DB-820C-43A7-A98A-E1FBE0BC11F6}" name="bond_changetype"/>
    <tableColumn id="36" xr3:uid="{EB3C630E-D2ED-4816-A3E4-8A0B965A2BED}" name="maturity_date" dataDxfId="3"/>
    <tableColumn id="37" xr3:uid="{75637CA2-300E-44E4-938E-AC1ABD1324FB}" name="coupon" dataDxfId="2"/>
    <tableColumn id="38" xr3:uid="{3519216B-3DA1-46C1-92A0-04E5D3A72882}" name="countryCode"/>
    <tableColumn id="39" xr3:uid="{E8CE8A91-4D99-4029-93B2-1B38A19137A7}" name="timeZone"/>
    <tableColumn id="40" xr3:uid="{1FDDA08D-E7DF-412C-A2ED-947023E8DE7A}" name="Time dimens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5D19-189E-459F-9AF8-3EE3D4EAEF72}">
  <sheetPr codeName="Feuil1">
    <tabColor theme="7"/>
  </sheetPr>
  <dimension ref="B1:AN34"/>
  <sheetViews>
    <sheetView tabSelected="1" topLeftCell="A8" zoomScaleNormal="100" workbookViewId="0">
      <selection activeCell="F23" sqref="F23"/>
    </sheetView>
  </sheetViews>
  <sheetFormatPr baseColWidth="10" defaultRowHeight="14.5" x14ac:dyDescent="0.35"/>
  <cols>
    <col min="2" max="2" width="14.26953125" bestFit="1" customWidth="1"/>
    <col min="3" max="3" width="29" bestFit="1" customWidth="1"/>
    <col min="4" max="4" width="23.453125" bestFit="1" customWidth="1"/>
  </cols>
  <sheetData>
    <row r="1" spans="2:9" ht="15" thickBot="1" x14ac:dyDescent="0.4"/>
    <row r="2" spans="2:9" x14ac:dyDescent="0.35">
      <c r="B2" s="30" t="s">
        <v>140</v>
      </c>
      <c r="C2" s="15" t="s">
        <v>238</v>
      </c>
    </row>
    <row r="3" spans="2:9" x14ac:dyDescent="0.35">
      <c r="B3" s="31" t="s">
        <v>0</v>
      </c>
      <c r="C3" s="37" t="s">
        <v>241</v>
      </c>
    </row>
    <row r="4" spans="2:9" x14ac:dyDescent="0.35">
      <c r="B4" s="31" t="s">
        <v>1</v>
      </c>
      <c r="C4" s="16">
        <f ca="1">C5-1825</f>
        <v>43828</v>
      </c>
    </row>
    <row r="5" spans="2:9" ht="15" thickBot="1" x14ac:dyDescent="0.4">
      <c r="B5" s="32" t="s">
        <v>2</v>
      </c>
      <c r="C5" s="38">
        <f ca="1">TODAY()</f>
        <v>45653</v>
      </c>
    </row>
    <row r="7" spans="2:9" ht="15" thickBot="1" x14ac:dyDescent="0.4"/>
    <row r="8" spans="2:9" ht="29" x14ac:dyDescent="0.35">
      <c r="B8" s="33" t="s">
        <v>195</v>
      </c>
      <c r="C8" s="20" t="str">
        <f>'Stock Finder'!D2</f>
        <v>AAPL</v>
      </c>
      <c r="G8" s="1"/>
    </row>
    <row r="9" spans="2:9" x14ac:dyDescent="0.35">
      <c r="B9" s="11" t="s">
        <v>196</v>
      </c>
      <c r="C9" s="17" t="str">
        <f>'Stock Finder'!B2</f>
        <v>Apple Inc.</v>
      </c>
      <c r="I9" s="2"/>
    </row>
    <row r="10" spans="2:9" x14ac:dyDescent="0.35">
      <c r="B10" s="11" t="s">
        <v>197</v>
      </c>
      <c r="C10" s="17" t="str">
        <f>'Stock Finder'!C2</f>
        <v>EQUITY</v>
      </c>
      <c r="H10" s="3"/>
    </row>
    <row r="11" spans="2:9" x14ac:dyDescent="0.35">
      <c r="B11" s="11" t="s">
        <v>12</v>
      </c>
      <c r="C11" s="17" t="str">
        <f>'Stock Finder'!I2</f>
        <v>NASDAQ</v>
      </c>
      <c r="H11" s="3"/>
    </row>
    <row r="12" spans="2:9" ht="15" thickBot="1" x14ac:dyDescent="0.4">
      <c r="B12" s="12" t="s">
        <v>198</v>
      </c>
      <c r="C12" s="34" t="str">
        <f>'Stock Finder'!J2</f>
        <v>Technology</v>
      </c>
    </row>
    <row r="15" spans="2:9" x14ac:dyDescent="0.35">
      <c r="B15" s="39"/>
      <c r="C15" s="40" t="s">
        <v>202</v>
      </c>
    </row>
    <row r="17" spans="2:40" ht="15" thickBot="1" x14ac:dyDescent="0.4"/>
    <row r="18" spans="2:40" x14ac:dyDescent="0.35">
      <c r="B18" s="44" t="s">
        <v>199</v>
      </c>
      <c r="C18" s="45"/>
      <c r="D18" s="46"/>
      <c r="G18" s="44" t="s">
        <v>200</v>
      </c>
      <c r="H18" s="45"/>
      <c r="I18" s="46"/>
    </row>
    <row r="19" spans="2:40" x14ac:dyDescent="0.35">
      <c r="B19" s="23"/>
      <c r="C19" s="24"/>
      <c r="D19" s="25"/>
      <c r="G19" s="23"/>
      <c r="H19" s="24"/>
      <c r="I19" s="25"/>
      <c r="AN19" t="s">
        <v>167</v>
      </c>
    </row>
    <row r="20" spans="2:40" x14ac:dyDescent="0.35">
      <c r="B20" s="29"/>
      <c r="C20" s="24"/>
      <c r="D20" s="25"/>
      <c r="G20" s="23"/>
      <c r="H20" s="24"/>
      <c r="I20" s="25"/>
      <c r="AN20" t="s">
        <v>167</v>
      </c>
    </row>
    <row r="21" spans="2:40" x14ac:dyDescent="0.35">
      <c r="B21" s="29"/>
      <c r="C21" s="24"/>
      <c r="D21" s="25"/>
      <c r="G21" s="23"/>
      <c r="H21" s="24"/>
      <c r="I21" s="25"/>
      <c r="AN21" t="s">
        <v>167</v>
      </c>
    </row>
    <row r="22" spans="2:40" x14ac:dyDescent="0.35">
      <c r="B22" s="29"/>
      <c r="C22" s="24"/>
      <c r="D22" s="25"/>
      <c r="G22" s="23"/>
      <c r="H22" s="24"/>
      <c r="I22" s="25"/>
      <c r="AN22" t="s">
        <v>167</v>
      </c>
    </row>
    <row r="23" spans="2:40" x14ac:dyDescent="0.35">
      <c r="B23" s="29"/>
      <c r="C23" s="24"/>
      <c r="D23" s="25"/>
      <c r="G23" s="23"/>
      <c r="H23" s="24"/>
      <c r="I23" s="25"/>
    </row>
    <row r="24" spans="2:40" x14ac:dyDescent="0.35">
      <c r="B24" s="23"/>
      <c r="C24" s="24"/>
      <c r="D24" s="25"/>
      <c r="G24" s="23"/>
      <c r="H24" s="24"/>
      <c r="I24" s="25"/>
    </row>
    <row r="25" spans="2:40" x14ac:dyDescent="0.35">
      <c r="B25" s="23"/>
      <c r="C25" s="24"/>
      <c r="D25" s="25"/>
      <c r="G25" s="23"/>
      <c r="H25" s="24"/>
      <c r="I25" s="25"/>
    </row>
    <row r="26" spans="2:40" x14ac:dyDescent="0.35">
      <c r="B26" s="23"/>
      <c r="C26" s="24"/>
      <c r="D26" s="25"/>
      <c r="G26" s="23"/>
      <c r="H26" s="24"/>
      <c r="I26" s="25"/>
    </row>
    <row r="27" spans="2:40" x14ac:dyDescent="0.35">
      <c r="B27" s="23"/>
      <c r="C27" s="24"/>
      <c r="D27" s="25"/>
      <c r="G27" s="23"/>
      <c r="H27" s="24"/>
      <c r="I27" s="25"/>
    </row>
    <row r="28" spans="2:40" x14ac:dyDescent="0.35">
      <c r="B28" s="23"/>
      <c r="C28" s="24"/>
      <c r="D28" s="25"/>
      <c r="G28" s="23"/>
      <c r="H28" s="24"/>
      <c r="I28" s="25"/>
    </row>
    <row r="29" spans="2:40" x14ac:dyDescent="0.35">
      <c r="B29" s="23"/>
      <c r="C29" s="24"/>
      <c r="D29" s="25"/>
      <c r="G29" s="23"/>
      <c r="H29" s="24"/>
      <c r="I29" s="25"/>
    </row>
    <row r="30" spans="2:40" x14ac:dyDescent="0.35">
      <c r="B30" s="23"/>
      <c r="C30" s="24"/>
      <c r="D30" s="25"/>
      <c r="G30" s="23"/>
      <c r="H30" s="24"/>
      <c r="I30" s="25"/>
    </row>
    <row r="31" spans="2:40" x14ac:dyDescent="0.35">
      <c r="B31" s="23"/>
      <c r="C31" s="24"/>
      <c r="D31" s="25"/>
      <c r="G31" s="23"/>
      <c r="H31" s="24"/>
      <c r="I31" s="25"/>
    </row>
    <row r="32" spans="2:40" x14ac:dyDescent="0.35">
      <c r="B32" s="23"/>
      <c r="C32" s="24"/>
      <c r="D32" s="25"/>
      <c r="G32" s="23"/>
      <c r="H32" s="24"/>
      <c r="I32" s="25"/>
    </row>
    <row r="33" spans="2:9" x14ac:dyDescent="0.35">
      <c r="B33" s="23"/>
      <c r="C33" s="24"/>
      <c r="D33" s="25"/>
      <c r="G33" s="23"/>
      <c r="H33" s="24"/>
      <c r="I33" s="25"/>
    </row>
    <row r="34" spans="2:9" ht="15" thickBot="1" x14ac:dyDescent="0.4">
      <c r="B34" s="26"/>
      <c r="C34" s="27"/>
      <c r="D34" s="28"/>
      <c r="G34" s="26"/>
      <c r="H34" s="27"/>
      <c r="I34" s="28"/>
    </row>
  </sheetData>
  <mergeCells count="2">
    <mergeCell ref="B18:D18"/>
    <mergeCell ref="G18:I18"/>
  </mergeCells>
  <dataValidations count="1">
    <dataValidation type="list" allowBlank="1" showInputMessage="1" showErrorMessage="1" sqref="C1" xr:uid="{32D2C4F4-E2AD-48F7-AD5F-89873486BE07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écupération_prix">
                <anchor moveWithCells="1" sizeWithCells="1">
                  <from>
                    <xdr:col>1</xdr:col>
                    <xdr:colOff>241300</xdr:colOff>
                    <xdr:row>19</xdr:row>
                    <xdr:rowOff>19050</xdr:rowOff>
                  </from>
                  <to>
                    <xdr:col>2</xdr:col>
                    <xdr:colOff>1035050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écupération_options_puts">
                <anchor moveWithCells="1" sizeWithCells="1">
                  <from>
                    <xdr:col>2</xdr:col>
                    <xdr:colOff>1466850</xdr:colOff>
                    <xdr:row>28</xdr:row>
                    <xdr:rowOff>69850</xdr:rowOff>
                  </from>
                  <to>
                    <xdr:col>3</xdr:col>
                    <xdr:colOff>1238250</xdr:colOff>
                    <xdr:row>32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écupération_options_calls">
                <anchor moveWithCells="1" sizeWithCells="1">
                  <from>
                    <xdr:col>1</xdr:col>
                    <xdr:colOff>222250</xdr:colOff>
                    <xdr:row>28</xdr:row>
                    <xdr:rowOff>38100</xdr:rowOff>
                  </from>
                  <to>
                    <xdr:col>2</xdr:col>
                    <xdr:colOff>1022350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aily_Returns.Daily_Returns">
                <anchor moveWithCells="1" sizeWithCells="1">
                  <from>
                    <xdr:col>1</xdr:col>
                    <xdr:colOff>234950</xdr:colOff>
                    <xdr:row>23</xdr:row>
                    <xdr:rowOff>120650</xdr:rowOff>
                  </from>
                  <to>
                    <xdr:col>2</xdr:col>
                    <xdr:colOff>1028700</xdr:colOff>
                    <xdr:row>27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reation_graph">
                <anchor moveWithCells="1" sizeWithCells="1">
                  <from>
                    <xdr:col>2</xdr:col>
                    <xdr:colOff>1466850</xdr:colOff>
                    <xdr:row>23</xdr:row>
                    <xdr:rowOff>133350</xdr:rowOff>
                  </from>
                  <to>
                    <xdr:col>3</xdr:col>
                    <xdr:colOff>1238250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récupération_taux_us">
                <anchor moveWithCells="1" sizeWithCells="1">
                  <from>
                    <xdr:col>6</xdr:col>
                    <xdr:colOff>241300</xdr:colOff>
                    <xdr:row>20</xdr:row>
                    <xdr:rowOff>88900</xdr:rowOff>
                  </from>
                  <to>
                    <xdr:col>8</xdr:col>
                    <xdr:colOff>508000</xdr:colOff>
                    <xdr:row>24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extract_rates">
                <anchor moveWithCells="1" sizeWithCells="1">
                  <from>
                    <xdr:col>6</xdr:col>
                    <xdr:colOff>247650</xdr:colOff>
                    <xdr:row>25</xdr:row>
                    <xdr:rowOff>165100</xdr:rowOff>
                  </from>
                  <to>
                    <xdr:col>8</xdr:col>
                    <xdr:colOff>495300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ticker_finder_2">
                <anchor moveWithCells="1" sizeWithCells="1">
                  <from>
                    <xdr:col>2</xdr:col>
                    <xdr:colOff>1473200</xdr:colOff>
                    <xdr:row>19</xdr:row>
                    <xdr:rowOff>0</xdr:rowOff>
                  </from>
                  <to>
                    <xdr:col>3</xdr:col>
                    <xdr:colOff>1244600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499E9-122F-4468-91D1-6F2E9A42E18B}">
  <sheetPr codeName="Feuil3">
    <tabColor theme="7"/>
  </sheetPr>
  <dimension ref="A1:G1516"/>
  <sheetViews>
    <sheetView zoomScale="70" zoomScaleNormal="70" workbookViewId="0">
      <selection activeCell="G2" sqref="G2"/>
    </sheetView>
  </sheetViews>
  <sheetFormatPr baseColWidth="10" defaultRowHeight="14.5" x14ac:dyDescent="0.35"/>
  <cols>
    <col min="1" max="1" width="11.81640625" bestFit="1" customWidth="1"/>
    <col min="2" max="2" width="14.1796875" bestFit="1" customWidth="1"/>
    <col min="4" max="4" width="20" bestFit="1" customWidth="1"/>
    <col min="5" max="5" width="12" bestFit="1" customWidth="1"/>
    <col min="6" max="6" width="15.54296875" bestFit="1" customWidth="1"/>
    <col min="7" max="7" width="17" bestFit="1" customWidth="1"/>
  </cols>
  <sheetData>
    <row r="1" spans="1:7" x14ac:dyDescent="0.35">
      <c r="A1" t="s">
        <v>3</v>
      </c>
      <c r="B1" t="s">
        <v>4</v>
      </c>
      <c r="D1" s="7" t="s">
        <v>142</v>
      </c>
    </row>
    <row r="2" spans="1:7" x14ac:dyDescent="0.35">
      <c r="A2" s="2">
        <v>43829</v>
      </c>
      <c r="B2">
        <v>70.6558837890625</v>
      </c>
      <c r="F2" s="7" t="s">
        <v>143</v>
      </c>
      <c r="G2" s="7" t="s">
        <v>144</v>
      </c>
    </row>
    <row r="3" spans="1:7" x14ac:dyDescent="0.35">
      <c r="A3" s="2">
        <v>43830</v>
      </c>
      <c r="B3">
        <v>71.172126770019503</v>
      </c>
      <c r="C3" s="9"/>
      <c r="D3" s="4">
        <v>7.3064400765010529E-3</v>
      </c>
      <c r="F3" s="4">
        <v>1.4241150821211773E-2</v>
      </c>
      <c r="G3" s="4">
        <v>1.7082419870368005E-2</v>
      </c>
    </row>
    <row r="4" spans="1:7" x14ac:dyDescent="0.35">
      <c r="A4" s="2">
        <v>43832</v>
      </c>
      <c r="B4">
        <v>72.796035766601506</v>
      </c>
      <c r="D4" s="4">
        <v>2.281664283869711E-2</v>
      </c>
    </row>
    <row r="5" spans="1:7" x14ac:dyDescent="0.35">
      <c r="A5" s="2">
        <v>43833</v>
      </c>
      <c r="B5">
        <v>72.088294982910099</v>
      </c>
      <c r="D5" s="4">
        <v>-9.7222434743639008E-3</v>
      </c>
    </row>
    <row r="6" spans="1:7" x14ac:dyDescent="0.35">
      <c r="A6" s="2">
        <v>43836</v>
      </c>
      <c r="B6">
        <v>72.662712097167898</v>
      </c>
      <c r="D6" s="4">
        <v>7.9682438653039256E-3</v>
      </c>
    </row>
    <row r="7" spans="1:7" x14ac:dyDescent="0.35">
      <c r="A7" s="2">
        <v>43837</v>
      </c>
      <c r="B7">
        <v>72.320968627929602</v>
      </c>
      <c r="D7" s="4">
        <v>-4.7031477270116362E-3</v>
      </c>
    </row>
    <row r="8" spans="1:7" x14ac:dyDescent="0.35">
      <c r="A8" s="2">
        <v>43838</v>
      </c>
      <c r="B8">
        <v>73.484344482421804</v>
      </c>
      <c r="D8" s="4">
        <v>1.608628695886849E-2</v>
      </c>
    </row>
    <row r="9" spans="1:7" x14ac:dyDescent="0.35">
      <c r="A9" s="2">
        <v>43839</v>
      </c>
      <c r="B9">
        <v>75.045211791992102</v>
      </c>
      <c r="D9" s="4">
        <v>2.1240814224636306E-2</v>
      </c>
    </row>
    <row r="10" spans="1:7" x14ac:dyDescent="0.35">
      <c r="A10" s="2">
        <v>43840</v>
      </c>
      <c r="B10">
        <v>75.214866638183594</v>
      </c>
      <c r="D10" s="4">
        <v>2.2607018108196097E-3</v>
      </c>
    </row>
    <row r="11" spans="1:7" x14ac:dyDescent="0.35">
      <c r="A11" s="2">
        <v>43843</v>
      </c>
      <c r="B11">
        <v>76.821792602539006</v>
      </c>
      <c r="D11" s="4">
        <v>2.1364472692418923E-2</v>
      </c>
    </row>
    <row r="12" spans="1:7" x14ac:dyDescent="0.35">
      <c r="A12" s="2">
        <v>43844</v>
      </c>
      <c r="B12">
        <v>75.784439086914006</v>
      </c>
      <c r="D12" s="4">
        <v>-1.3503375545947827E-2</v>
      </c>
    </row>
    <row r="13" spans="1:7" x14ac:dyDescent="0.35">
      <c r="A13" s="2">
        <v>43845</v>
      </c>
      <c r="B13">
        <v>75.459678649902301</v>
      </c>
      <c r="D13" s="4">
        <v>-4.2853182120837774E-3</v>
      </c>
    </row>
    <row r="14" spans="1:7" x14ac:dyDescent="0.35">
      <c r="A14" s="2">
        <v>43846</v>
      </c>
      <c r="B14">
        <v>76.404914855957003</v>
      </c>
      <c r="D14" s="4">
        <v>1.2526374654206585E-2</v>
      </c>
    </row>
    <row r="15" spans="1:7" x14ac:dyDescent="0.35">
      <c r="A15" s="2">
        <v>43847</v>
      </c>
      <c r="B15">
        <v>77.250816345214801</v>
      </c>
      <c r="D15" s="4">
        <v>1.107129679880603E-2</v>
      </c>
    </row>
    <row r="16" spans="1:7" x14ac:dyDescent="0.35">
      <c r="A16" s="2">
        <v>43851</v>
      </c>
      <c r="B16">
        <v>76.727279663085895</v>
      </c>
      <c r="D16" s="4">
        <v>-6.7771022611509135E-3</v>
      </c>
    </row>
    <row r="17" spans="1:4" x14ac:dyDescent="0.35">
      <c r="A17" s="2">
        <v>43852</v>
      </c>
      <c r="B17">
        <v>77.001152038574205</v>
      </c>
      <c r="D17" s="4">
        <v>3.5694263720922326E-3</v>
      </c>
    </row>
    <row r="18" spans="1:4" x14ac:dyDescent="0.35">
      <c r="A18" s="2">
        <v>43853</v>
      </c>
      <c r="B18">
        <v>77.371978759765597</v>
      </c>
      <c r="D18" s="4">
        <v>4.8158593913714132E-3</v>
      </c>
    </row>
    <row r="19" spans="1:4" x14ac:dyDescent="0.35">
      <c r="A19" s="2">
        <v>43854</v>
      </c>
      <c r="B19">
        <v>77.148994445800696</v>
      </c>
      <c r="D19" s="4">
        <v>-2.8819776557253984E-3</v>
      </c>
    </row>
    <row r="20" spans="1:4" x14ac:dyDescent="0.35">
      <c r="A20" s="2">
        <v>43857</v>
      </c>
      <c r="B20">
        <v>74.880401611328097</v>
      </c>
      <c r="D20" s="4">
        <v>-2.9405345471694377E-2</v>
      </c>
    </row>
    <row r="21" spans="1:4" x14ac:dyDescent="0.35">
      <c r="A21" s="2">
        <v>43858</v>
      </c>
      <c r="B21">
        <v>76.998725891113196</v>
      </c>
      <c r="D21" s="4">
        <v>2.8289435342246261E-2</v>
      </c>
    </row>
    <row r="22" spans="1:4" x14ac:dyDescent="0.35">
      <c r="A22" s="2">
        <v>43859</v>
      </c>
      <c r="B22">
        <v>78.610488891601506</v>
      </c>
      <c r="D22" s="4">
        <v>2.0932333383899993E-2</v>
      </c>
    </row>
    <row r="23" spans="1:4" x14ac:dyDescent="0.35">
      <c r="A23" s="2">
        <v>43860</v>
      </c>
      <c r="B23">
        <v>78.496574401855398</v>
      </c>
      <c r="D23" s="4">
        <v>-1.449100385359392E-3</v>
      </c>
    </row>
    <row r="24" spans="1:4" x14ac:dyDescent="0.35">
      <c r="A24" s="2">
        <v>43861</v>
      </c>
      <c r="B24">
        <v>75.016128540039006</v>
      </c>
      <c r="D24" s="4">
        <v>-4.4338824825636336E-2</v>
      </c>
    </row>
    <row r="25" spans="1:4" x14ac:dyDescent="0.35">
      <c r="A25" s="2">
        <v>43864</v>
      </c>
      <c r="B25">
        <v>74.810134887695298</v>
      </c>
      <c r="D25" s="4">
        <v>-2.7459915134617763E-3</v>
      </c>
    </row>
    <row r="26" spans="1:4" x14ac:dyDescent="0.35">
      <c r="A26" s="2">
        <v>43865</v>
      </c>
      <c r="B26">
        <v>77.279876708984304</v>
      </c>
      <c r="D26" s="4">
        <v>3.3013465688794374E-2</v>
      </c>
    </row>
    <row r="27" spans="1:4" x14ac:dyDescent="0.35">
      <c r="A27" s="2">
        <v>43866</v>
      </c>
      <c r="B27">
        <v>77.910026550292898</v>
      </c>
      <c r="D27" s="4">
        <v>8.1541258623065715E-3</v>
      </c>
    </row>
    <row r="28" spans="1:4" x14ac:dyDescent="0.35">
      <c r="A28" s="2">
        <v>43867</v>
      </c>
      <c r="B28">
        <v>78.821357727050696</v>
      </c>
      <c r="D28" s="4">
        <v>1.1697225852817628E-2</v>
      </c>
    </row>
    <row r="29" spans="1:4" x14ac:dyDescent="0.35">
      <c r="A29" s="2">
        <v>43868</v>
      </c>
      <c r="B29">
        <v>77.749961853027301</v>
      </c>
      <c r="D29" s="4">
        <v>-1.3592710211025705E-2</v>
      </c>
    </row>
    <row r="30" spans="1:4" x14ac:dyDescent="0.35">
      <c r="A30" s="2">
        <v>43871</v>
      </c>
      <c r="B30">
        <v>78.119247436523395</v>
      </c>
      <c r="D30" s="4">
        <v>4.7496561373774338E-3</v>
      </c>
    </row>
    <row r="31" spans="1:4" x14ac:dyDescent="0.35">
      <c r="A31" s="2">
        <v>43872</v>
      </c>
      <c r="B31">
        <v>77.647918701171804</v>
      </c>
      <c r="D31" s="4">
        <v>-6.0334520725455754E-3</v>
      </c>
    </row>
    <row r="32" spans="1:4" x14ac:dyDescent="0.35">
      <c r="A32" s="2">
        <v>43873</v>
      </c>
      <c r="B32">
        <v>79.491882324218693</v>
      </c>
      <c r="D32" s="4">
        <v>2.3747753370484848E-2</v>
      </c>
    </row>
    <row r="33" spans="1:4" x14ac:dyDescent="0.35">
      <c r="A33" s="2">
        <v>43874</v>
      </c>
      <c r="B33">
        <v>78.925819396972599</v>
      </c>
      <c r="D33" s="4">
        <v>-7.1210155137266806E-3</v>
      </c>
    </row>
    <row r="34" spans="1:4" x14ac:dyDescent="0.35">
      <c r="A34" s="2">
        <v>43875</v>
      </c>
      <c r="B34">
        <v>78.945236206054602</v>
      </c>
      <c r="D34" s="4">
        <v>2.4601339878826955E-4</v>
      </c>
    </row>
    <row r="35" spans="1:4" x14ac:dyDescent="0.35">
      <c r="A35" s="2">
        <v>43879</v>
      </c>
      <c r="B35">
        <v>77.499717712402301</v>
      </c>
      <c r="D35" s="4">
        <v>-1.8310395447793226E-2</v>
      </c>
    </row>
    <row r="36" spans="1:4" x14ac:dyDescent="0.35">
      <c r="A36" s="2">
        <v>43880</v>
      </c>
      <c r="B36">
        <v>78.622123718261705</v>
      </c>
      <c r="D36" s="4">
        <v>1.4482710892246065E-2</v>
      </c>
    </row>
    <row r="37" spans="1:4" x14ac:dyDescent="0.35">
      <c r="A37" s="2">
        <v>43881</v>
      </c>
      <c r="B37">
        <v>77.8155517578125</v>
      </c>
      <c r="D37" s="4">
        <v>-1.0258842197388485E-2</v>
      </c>
    </row>
    <row r="38" spans="1:4" x14ac:dyDescent="0.35">
      <c r="A38" s="2">
        <v>43882</v>
      </c>
      <c r="B38">
        <v>76.05419921875</v>
      </c>
      <c r="D38" s="4">
        <v>-2.2634968194332195E-2</v>
      </c>
    </row>
    <row r="39" spans="1:4" x14ac:dyDescent="0.35">
      <c r="A39" s="2">
        <v>43885</v>
      </c>
      <c r="B39">
        <v>72.441589355468693</v>
      </c>
      <c r="D39" s="4">
        <v>-4.7500465462670616E-2</v>
      </c>
    </row>
    <row r="40" spans="1:4" x14ac:dyDescent="0.35">
      <c r="A40" s="2">
        <v>43886</v>
      </c>
      <c r="B40">
        <v>69.987831115722599</v>
      </c>
      <c r="D40" s="4">
        <v>-3.3872230877011522E-2</v>
      </c>
    </row>
    <row r="41" spans="1:4" x14ac:dyDescent="0.35">
      <c r="A41" s="2">
        <v>43887</v>
      </c>
      <c r="B41">
        <v>71.098098754882798</v>
      </c>
      <c r="D41" s="4">
        <v>1.5863724042604055E-2</v>
      </c>
    </row>
    <row r="42" spans="1:4" x14ac:dyDescent="0.35">
      <c r="A42" s="2">
        <v>43888</v>
      </c>
      <c r="B42">
        <v>66.4505615234375</v>
      </c>
      <c r="D42" s="4">
        <v>-6.5367953754545627E-2</v>
      </c>
    </row>
    <row r="43" spans="1:4" x14ac:dyDescent="0.35">
      <c r="A43" s="2">
        <v>43889</v>
      </c>
      <c r="B43">
        <v>66.411682128906193</v>
      </c>
      <c r="D43" s="4">
        <v>-5.8508752431829514E-4</v>
      </c>
    </row>
    <row r="44" spans="1:4" x14ac:dyDescent="0.35">
      <c r="A44" s="2">
        <v>43892</v>
      </c>
      <c r="B44">
        <v>72.594650268554602</v>
      </c>
      <c r="D44" s="4">
        <v>9.3100610336102729E-2</v>
      </c>
    </row>
    <row r="45" spans="1:4" x14ac:dyDescent="0.35">
      <c r="A45" s="2">
        <v>43893</v>
      </c>
      <c r="B45">
        <v>70.289100646972599</v>
      </c>
      <c r="D45" s="4">
        <v>-3.1759222105939178E-2</v>
      </c>
    </row>
    <row r="46" spans="1:4" x14ac:dyDescent="0.35">
      <c r="A46" s="2">
        <v>43894</v>
      </c>
      <c r="B46">
        <v>73.549430847167898</v>
      </c>
      <c r="D46" s="4">
        <v>4.6384576985418091E-2</v>
      </c>
    </row>
    <row r="47" spans="1:4" x14ac:dyDescent="0.35">
      <c r="A47" s="2">
        <v>43895</v>
      </c>
      <c r="B47">
        <v>71.1636962890625</v>
      </c>
      <c r="D47" s="4">
        <v>-3.2437158664937016E-2</v>
      </c>
    </row>
    <row r="48" spans="1:4" x14ac:dyDescent="0.35">
      <c r="A48" s="2">
        <v>43896</v>
      </c>
      <c r="B48">
        <v>70.218643188476506</v>
      </c>
      <c r="D48" s="4">
        <v>-1.3279988953177058E-2</v>
      </c>
    </row>
    <row r="49" spans="1:4" x14ac:dyDescent="0.35">
      <c r="A49" s="2">
        <v>43899</v>
      </c>
      <c r="B49">
        <v>64.664878845214801</v>
      </c>
      <c r="D49" s="4">
        <v>-7.9092447405379795E-2</v>
      </c>
    </row>
    <row r="50" spans="1:4" x14ac:dyDescent="0.35">
      <c r="A50" s="2">
        <v>43900</v>
      </c>
      <c r="B50">
        <v>69.322166442871094</v>
      </c>
      <c r="D50" s="4">
        <v>7.2021902473585753E-2</v>
      </c>
    </row>
    <row r="51" spans="1:4" x14ac:dyDescent="0.35">
      <c r="A51" s="2">
        <v>43901</v>
      </c>
      <c r="B51">
        <v>66.914588928222599</v>
      </c>
      <c r="D51" s="4">
        <v>-3.4730269381188394E-2</v>
      </c>
    </row>
    <row r="52" spans="1:4" x14ac:dyDescent="0.35">
      <c r="A52" s="2">
        <v>43902</v>
      </c>
      <c r="B52">
        <v>60.306446075439403</v>
      </c>
      <c r="D52" s="4">
        <v>-9.87548897576217E-2</v>
      </c>
    </row>
    <row r="53" spans="1:4" x14ac:dyDescent="0.35">
      <c r="A53" s="2">
        <v>43903</v>
      </c>
      <c r="B53">
        <v>67.531661987304602</v>
      </c>
      <c r="D53" s="4">
        <v>0.11980835187712646</v>
      </c>
    </row>
    <row r="54" spans="1:4" x14ac:dyDescent="0.35">
      <c r="A54" s="2">
        <v>43906</v>
      </c>
      <c r="B54">
        <v>58.843914031982401</v>
      </c>
      <c r="D54" s="4">
        <v>-0.1286470331050853</v>
      </c>
    </row>
    <row r="55" spans="1:4" x14ac:dyDescent="0.35">
      <c r="A55" s="2">
        <v>43907</v>
      </c>
      <c r="B55">
        <v>61.431282043457003</v>
      </c>
      <c r="D55" s="4">
        <v>4.3970018888755957E-2</v>
      </c>
    </row>
    <row r="56" spans="1:4" x14ac:dyDescent="0.35">
      <c r="A56" s="2">
        <v>43908</v>
      </c>
      <c r="B56">
        <v>59.927444458007798</v>
      </c>
      <c r="D56" s="4">
        <v>-2.4479996761021194E-2</v>
      </c>
    </row>
    <row r="57" spans="1:4" x14ac:dyDescent="0.35">
      <c r="A57" s="2">
        <v>43909</v>
      </c>
      <c r="B57">
        <v>59.468284606933501</v>
      </c>
      <c r="D57" s="4">
        <v>-7.6619294419610906E-3</v>
      </c>
    </row>
    <row r="58" spans="1:4" x14ac:dyDescent="0.35">
      <c r="A58" s="2">
        <v>43910</v>
      </c>
      <c r="B58">
        <v>55.692905426025298</v>
      </c>
      <c r="D58" s="4">
        <v>-6.3485590779392087E-2</v>
      </c>
    </row>
    <row r="59" spans="1:4" x14ac:dyDescent="0.35">
      <c r="A59" s="2">
        <v>43913</v>
      </c>
      <c r="B59">
        <v>54.509750366210902</v>
      </c>
      <c r="D59" s="4">
        <v>-2.1244268920139864E-2</v>
      </c>
    </row>
    <row r="60" spans="1:4" x14ac:dyDescent="0.35">
      <c r="A60" s="2">
        <v>43914</v>
      </c>
      <c r="B60">
        <v>59.97847366333</v>
      </c>
      <c r="D60" s="4">
        <v>0.10032559790457252</v>
      </c>
    </row>
    <row r="61" spans="1:4" x14ac:dyDescent="0.35">
      <c r="A61" s="2">
        <v>43915</v>
      </c>
      <c r="B61">
        <v>59.6480712890625</v>
      </c>
      <c r="D61" s="4">
        <v>-5.5086826003960532E-3</v>
      </c>
    </row>
    <row r="62" spans="1:4" x14ac:dyDescent="0.35">
      <c r="A62" s="2">
        <v>43916</v>
      </c>
      <c r="B62">
        <v>62.786933898925703</v>
      </c>
      <c r="D62" s="4">
        <v>5.2623036118835342E-2</v>
      </c>
    </row>
    <row r="63" spans="1:4" x14ac:dyDescent="0.35">
      <c r="A63" s="2">
        <v>43917</v>
      </c>
      <c r="B63">
        <v>60.187412261962798</v>
      </c>
      <c r="D63" s="4">
        <v>-4.1402270751867087E-2</v>
      </c>
    </row>
    <row r="64" spans="1:4" x14ac:dyDescent="0.35">
      <c r="A64" s="2">
        <v>43920</v>
      </c>
      <c r="B64">
        <v>61.905029296875</v>
      </c>
      <c r="D64" s="4">
        <v>2.85378116513193E-2</v>
      </c>
    </row>
    <row r="65" spans="1:4" x14ac:dyDescent="0.35">
      <c r="A65" s="2">
        <v>43921</v>
      </c>
      <c r="B65">
        <v>61.778694152832003</v>
      </c>
      <c r="D65" s="4">
        <v>-2.0407896656851054E-3</v>
      </c>
    </row>
    <row r="66" spans="1:4" x14ac:dyDescent="0.35">
      <c r="A66" s="2">
        <v>43922</v>
      </c>
      <c r="B66">
        <v>58.528087615966797</v>
      </c>
      <c r="D66" s="4">
        <v>-5.2616951223081077E-2</v>
      </c>
    </row>
    <row r="67" spans="1:4" x14ac:dyDescent="0.35">
      <c r="A67" s="2">
        <v>43923</v>
      </c>
      <c r="B67">
        <v>59.5047187805175</v>
      </c>
      <c r="D67" s="4">
        <v>1.6686538110708193E-2</v>
      </c>
    </row>
    <row r="68" spans="1:4" x14ac:dyDescent="0.35">
      <c r="A68" s="2">
        <v>43924</v>
      </c>
      <c r="B68">
        <v>58.6495552062988</v>
      </c>
      <c r="D68" s="4">
        <v>-1.4371357293073928E-2</v>
      </c>
    </row>
    <row r="69" spans="1:4" x14ac:dyDescent="0.35">
      <c r="A69" s="2">
        <v>43927</v>
      </c>
      <c r="B69">
        <v>63.766006469726499</v>
      </c>
      <c r="D69" s="4">
        <v>8.7237682288137997E-2</v>
      </c>
    </row>
    <row r="70" spans="1:4" x14ac:dyDescent="0.35">
      <c r="A70" s="2">
        <v>43928</v>
      </c>
      <c r="B70">
        <v>63.027446746826101</v>
      </c>
      <c r="D70" s="4">
        <v>-1.1582342439008353E-2</v>
      </c>
    </row>
    <row r="71" spans="1:4" x14ac:dyDescent="0.35">
      <c r="A71" s="2">
        <v>43929</v>
      </c>
      <c r="B71">
        <v>64.640609741210895</v>
      </c>
      <c r="D71" s="4">
        <v>2.5594611199541095E-2</v>
      </c>
    </row>
    <row r="72" spans="1:4" x14ac:dyDescent="0.35">
      <c r="A72" s="2">
        <v>43930</v>
      </c>
      <c r="B72">
        <v>65.1070556640625</v>
      </c>
      <c r="D72" s="4">
        <v>7.2159889072678229E-3</v>
      </c>
    </row>
    <row r="73" spans="1:4" x14ac:dyDescent="0.35">
      <c r="A73" s="2">
        <v>43934</v>
      </c>
      <c r="B73">
        <v>66.384956359863196</v>
      </c>
      <c r="D73" s="4">
        <v>1.9627683709034116E-2</v>
      </c>
    </row>
    <row r="74" spans="1:4" x14ac:dyDescent="0.35">
      <c r="A74" s="2">
        <v>43935</v>
      </c>
      <c r="B74">
        <v>69.737594604492102</v>
      </c>
      <c r="D74" s="4">
        <v>5.0502981827008186E-2</v>
      </c>
    </row>
    <row r="75" spans="1:4" x14ac:dyDescent="0.35">
      <c r="A75" s="2">
        <v>43936</v>
      </c>
      <c r="B75">
        <v>69.10107421875</v>
      </c>
      <c r="D75" s="4">
        <v>-9.1273636458505392E-3</v>
      </c>
    </row>
    <row r="76" spans="1:4" x14ac:dyDescent="0.35">
      <c r="A76" s="2">
        <v>43937</v>
      </c>
      <c r="B76">
        <v>69.650154113769503</v>
      </c>
      <c r="D76" s="4">
        <v>7.9460399310335994E-3</v>
      </c>
    </row>
    <row r="77" spans="1:4" x14ac:dyDescent="0.35">
      <c r="A77" s="2">
        <v>43938</v>
      </c>
      <c r="B77">
        <v>68.705101013183594</v>
      </c>
      <c r="D77" s="4">
        <v>-1.356857156471214E-2</v>
      </c>
    </row>
    <row r="78" spans="1:4" x14ac:dyDescent="0.35">
      <c r="A78" s="2">
        <v>43941</v>
      </c>
      <c r="B78">
        <v>67.279006958007798</v>
      </c>
      <c r="D78" s="4">
        <v>-2.0756741990702321E-2</v>
      </c>
    </row>
    <row r="79" spans="1:4" x14ac:dyDescent="0.35">
      <c r="A79" s="2">
        <v>43942</v>
      </c>
      <c r="B79">
        <v>65.199378967285099</v>
      </c>
      <c r="D79" s="4">
        <v>-3.0910503658603372E-2</v>
      </c>
    </row>
    <row r="80" spans="1:4" x14ac:dyDescent="0.35">
      <c r="A80" s="2">
        <v>43943</v>
      </c>
      <c r="B80">
        <v>67.077346801757798</v>
      </c>
      <c r="D80" s="4">
        <v>2.880346199946171E-2</v>
      </c>
    </row>
    <row r="81" spans="1:4" x14ac:dyDescent="0.35">
      <c r="A81" s="2">
        <v>43944</v>
      </c>
      <c r="B81">
        <v>66.817405700683594</v>
      </c>
      <c r="D81" s="4">
        <v>-3.8752442287623978E-3</v>
      </c>
    </row>
    <row r="82" spans="1:4" x14ac:dyDescent="0.35">
      <c r="A82" s="2">
        <v>43945</v>
      </c>
      <c r="B82">
        <v>68.746398925781193</v>
      </c>
      <c r="D82" s="4">
        <v>2.886962169316698E-2</v>
      </c>
    </row>
    <row r="83" spans="1:4" x14ac:dyDescent="0.35">
      <c r="A83" s="2">
        <v>43948</v>
      </c>
      <c r="B83">
        <v>68.794967651367102</v>
      </c>
      <c r="D83" s="4">
        <v>7.0649119582744113E-4</v>
      </c>
    </row>
    <row r="84" spans="1:4" x14ac:dyDescent="0.35">
      <c r="A84" s="2">
        <v>43949</v>
      </c>
      <c r="B84">
        <v>67.679847717285099</v>
      </c>
      <c r="D84" s="4">
        <v>-1.6209324201344244E-2</v>
      </c>
    </row>
    <row r="85" spans="1:4" x14ac:dyDescent="0.35">
      <c r="A85" s="2">
        <v>43950</v>
      </c>
      <c r="B85">
        <v>69.902801513671804</v>
      </c>
      <c r="D85" s="4">
        <v>3.2845135906222955E-2</v>
      </c>
    </row>
    <row r="86" spans="1:4" x14ac:dyDescent="0.35">
      <c r="A86" s="2">
        <v>43951</v>
      </c>
      <c r="B86">
        <v>71.377487182617102</v>
      </c>
      <c r="D86" s="4">
        <v>2.1096231295635093E-2</v>
      </c>
    </row>
    <row r="87" spans="1:4" x14ac:dyDescent="0.35">
      <c r="A87" s="2">
        <v>43952</v>
      </c>
      <c r="B87">
        <v>70.228370666503906</v>
      </c>
      <c r="D87" s="4">
        <v>-1.6099145003146687E-2</v>
      </c>
    </row>
    <row r="88" spans="1:4" x14ac:dyDescent="0.35">
      <c r="A88" s="2">
        <v>43955</v>
      </c>
      <c r="B88">
        <v>71.222007751464801</v>
      </c>
      <c r="D88" s="4">
        <v>1.4148656383891067E-2</v>
      </c>
    </row>
    <row r="89" spans="1:4" x14ac:dyDescent="0.35">
      <c r="A89" s="2">
        <v>43956</v>
      </c>
      <c r="B89">
        <v>72.290977478027301</v>
      </c>
      <c r="D89" s="4">
        <v>1.5008980514741532E-2</v>
      </c>
    </row>
    <row r="90" spans="1:4" x14ac:dyDescent="0.35">
      <c r="A90" s="2">
        <v>43957</v>
      </c>
      <c r="B90">
        <v>73.036804199218693</v>
      </c>
      <c r="D90" s="4">
        <v>1.0317009773703534E-2</v>
      </c>
    </row>
    <row r="91" spans="1:4" x14ac:dyDescent="0.35">
      <c r="A91" s="2">
        <v>43958</v>
      </c>
      <c r="B91">
        <v>73.792381286621094</v>
      </c>
      <c r="D91" s="4">
        <v>1.0345155373193027E-2</v>
      </c>
    </row>
    <row r="92" spans="1:4" x14ac:dyDescent="0.35">
      <c r="A92" s="2">
        <v>43959</v>
      </c>
      <c r="B92">
        <v>75.548751831054602</v>
      </c>
      <c r="D92" s="4">
        <v>2.3801516007614598E-2</v>
      </c>
    </row>
    <row r="93" spans="1:4" x14ac:dyDescent="0.35">
      <c r="A93" s="2">
        <v>43962</v>
      </c>
      <c r="B93">
        <v>76.737541198730398</v>
      </c>
      <c r="D93" s="4">
        <v>1.5735393886244786E-2</v>
      </c>
    </row>
    <row r="94" spans="1:4" x14ac:dyDescent="0.35">
      <c r="A94" s="2">
        <v>43963</v>
      </c>
      <c r="B94">
        <v>75.860557556152301</v>
      </c>
      <c r="D94" s="4">
        <v>-1.1428352132197395E-2</v>
      </c>
    </row>
    <row r="95" spans="1:4" x14ac:dyDescent="0.35">
      <c r="A95" s="2">
        <v>43964</v>
      </c>
      <c r="B95">
        <v>74.944618225097599</v>
      </c>
      <c r="D95" s="4">
        <v>-1.2073986279058424E-2</v>
      </c>
    </row>
    <row r="96" spans="1:4" x14ac:dyDescent="0.35">
      <c r="A96" s="2">
        <v>43965</v>
      </c>
      <c r="B96">
        <v>75.405036926269503</v>
      </c>
      <c r="D96" s="4">
        <v>6.1434524863284157E-3</v>
      </c>
    </row>
    <row r="97" spans="1:4" x14ac:dyDescent="0.35">
      <c r="A97" s="2">
        <v>43966</v>
      </c>
      <c r="B97">
        <v>74.959243774414006</v>
      </c>
      <c r="D97" s="4">
        <v>-5.9119810827941155E-3</v>
      </c>
    </row>
    <row r="98" spans="1:4" x14ac:dyDescent="0.35">
      <c r="A98" s="2">
        <v>43969</v>
      </c>
      <c r="B98">
        <v>76.725357055664006</v>
      </c>
      <c r="D98" s="4">
        <v>2.3560980505153317E-2</v>
      </c>
    </row>
    <row r="99" spans="1:4" x14ac:dyDescent="0.35">
      <c r="A99" s="2">
        <v>43970</v>
      </c>
      <c r="B99">
        <v>76.282020568847599</v>
      </c>
      <c r="D99" s="4">
        <v>-5.7782264407680861E-3</v>
      </c>
    </row>
    <row r="100" spans="1:4" x14ac:dyDescent="0.35">
      <c r="A100" s="2">
        <v>43971</v>
      </c>
      <c r="B100">
        <v>77.765548706054602</v>
      </c>
      <c r="D100" s="4">
        <v>1.9447939712976758E-2</v>
      </c>
    </row>
    <row r="101" spans="1:4" x14ac:dyDescent="0.35">
      <c r="A101" s="2">
        <v>43972</v>
      </c>
      <c r="B101">
        <v>77.185760498046804</v>
      </c>
      <c r="D101" s="4">
        <v>-7.4555920668589737E-3</v>
      </c>
    </row>
    <row r="102" spans="1:4" x14ac:dyDescent="0.35">
      <c r="A102" s="2">
        <v>43973</v>
      </c>
      <c r="B102">
        <v>77.6827392578125</v>
      </c>
      <c r="D102" s="4">
        <v>6.4387363233697759E-3</v>
      </c>
    </row>
    <row r="103" spans="1:4" x14ac:dyDescent="0.35">
      <c r="A103" s="2">
        <v>43977</v>
      </c>
      <c r="B103">
        <v>77.156539916992102</v>
      </c>
      <c r="D103" s="4">
        <v>-6.7736970380776196E-3</v>
      </c>
    </row>
    <row r="104" spans="1:4" x14ac:dyDescent="0.35">
      <c r="A104" s="2">
        <v>43978</v>
      </c>
      <c r="B104">
        <v>77.492713928222599</v>
      </c>
      <c r="D104" s="4">
        <v>4.3570384518560878E-3</v>
      </c>
    </row>
    <row r="105" spans="1:4" x14ac:dyDescent="0.35">
      <c r="A105" s="2">
        <v>43979</v>
      </c>
      <c r="B105">
        <v>77.526824951171804</v>
      </c>
      <c r="D105" s="4">
        <v>4.4018361494990721E-4</v>
      </c>
    </row>
    <row r="106" spans="1:4" x14ac:dyDescent="0.35">
      <c r="A106" s="2">
        <v>43980</v>
      </c>
      <c r="B106">
        <v>77.4512939453125</v>
      </c>
      <c r="D106" s="4">
        <v>-9.7425640617776477E-4</v>
      </c>
    </row>
    <row r="107" spans="1:4" x14ac:dyDescent="0.35">
      <c r="A107" s="2">
        <v>43983</v>
      </c>
      <c r="B107">
        <v>78.403793334960895</v>
      </c>
      <c r="D107" s="4">
        <v>1.2298043597837705E-2</v>
      </c>
    </row>
    <row r="108" spans="1:4" x14ac:dyDescent="0.35">
      <c r="A108" s="2">
        <v>43984</v>
      </c>
      <c r="B108">
        <v>78.766754150390597</v>
      </c>
      <c r="D108" s="4">
        <v>4.6293782480528733E-3</v>
      </c>
    </row>
    <row r="109" spans="1:4" x14ac:dyDescent="0.35">
      <c r="A109" s="2">
        <v>43985</v>
      </c>
      <c r="B109">
        <v>79.200363159179602</v>
      </c>
      <c r="D109" s="4">
        <v>5.5049749537869896E-3</v>
      </c>
    </row>
    <row r="110" spans="1:4" x14ac:dyDescent="0.35">
      <c r="A110" s="2">
        <v>43986</v>
      </c>
      <c r="B110">
        <v>78.518280029296804</v>
      </c>
      <c r="D110" s="4">
        <v>-8.612121241312054E-3</v>
      </c>
    </row>
    <row r="111" spans="1:4" x14ac:dyDescent="0.35">
      <c r="A111" s="2">
        <v>43987</v>
      </c>
      <c r="B111">
        <v>80.754562377929602</v>
      </c>
      <c r="D111" s="4">
        <v>2.8481040947387015E-2</v>
      </c>
    </row>
    <row r="112" spans="1:4" x14ac:dyDescent="0.35">
      <c r="A112" s="2">
        <v>43990</v>
      </c>
      <c r="B112">
        <v>81.232009887695298</v>
      </c>
      <c r="D112" s="4">
        <v>5.9123286128559549E-3</v>
      </c>
    </row>
    <row r="113" spans="1:4" x14ac:dyDescent="0.35">
      <c r="A113" s="2">
        <v>43991</v>
      </c>
      <c r="B113">
        <v>83.797157287597599</v>
      </c>
      <c r="D113" s="4">
        <v>3.1578036828691758E-2</v>
      </c>
    </row>
    <row r="114" spans="1:4" x14ac:dyDescent="0.35">
      <c r="A114" s="2">
        <v>43992</v>
      </c>
      <c r="B114">
        <v>85.953048706054602</v>
      </c>
      <c r="D114" s="4">
        <v>2.5727500648474733E-2</v>
      </c>
    </row>
    <row r="115" spans="1:4" x14ac:dyDescent="0.35">
      <c r="A115" s="2">
        <v>43993</v>
      </c>
      <c r="B115">
        <v>81.826416015625</v>
      </c>
      <c r="D115" s="4">
        <v>-4.8010312054689419E-2</v>
      </c>
    </row>
    <row r="116" spans="1:4" x14ac:dyDescent="0.35">
      <c r="A116" s="2">
        <v>43994</v>
      </c>
      <c r="B116">
        <v>82.532859802246094</v>
      </c>
      <c r="D116" s="4">
        <v>8.6334440761306475E-3</v>
      </c>
    </row>
    <row r="117" spans="1:4" x14ac:dyDescent="0.35">
      <c r="A117" s="2">
        <v>43997</v>
      </c>
      <c r="B117">
        <v>83.553573608398395</v>
      </c>
      <c r="D117" s="4">
        <v>1.2367362631053869E-2</v>
      </c>
    </row>
    <row r="118" spans="1:4" x14ac:dyDescent="0.35">
      <c r="A118" s="2">
        <v>43998</v>
      </c>
      <c r="B118">
        <v>85.767921447753906</v>
      </c>
      <c r="D118" s="4">
        <v>2.6502132030088665E-2</v>
      </c>
    </row>
    <row r="119" spans="1:4" x14ac:dyDescent="0.35">
      <c r="A119" s="2">
        <v>43999</v>
      </c>
      <c r="B119">
        <v>85.6485595703125</v>
      </c>
      <c r="D119" s="4">
        <v>-1.391684389997927E-3</v>
      </c>
    </row>
    <row r="120" spans="1:4" x14ac:dyDescent="0.35">
      <c r="A120" s="2">
        <v>44000</v>
      </c>
      <c r="B120">
        <v>85.682678222656193</v>
      </c>
      <c r="D120" s="4">
        <v>3.9835640569862996E-4</v>
      </c>
    </row>
    <row r="121" spans="1:4" x14ac:dyDescent="0.35">
      <c r="A121" s="2">
        <v>44001</v>
      </c>
      <c r="B121">
        <v>85.193000793457003</v>
      </c>
      <c r="D121" s="4">
        <v>-5.7150107741346101E-3</v>
      </c>
    </row>
    <row r="122" spans="1:4" x14ac:dyDescent="0.35">
      <c r="A122" s="2">
        <v>44004</v>
      </c>
      <c r="B122">
        <v>87.4219970703125</v>
      </c>
      <c r="D122" s="4">
        <v>2.6164077519226003E-2</v>
      </c>
    </row>
    <row r="123" spans="1:4" x14ac:dyDescent="0.35">
      <c r="A123" s="2">
        <v>44005</v>
      </c>
      <c r="B123">
        <v>89.287986755371094</v>
      </c>
      <c r="D123" s="4">
        <v>2.1344624323301531E-2</v>
      </c>
    </row>
    <row r="124" spans="1:4" x14ac:dyDescent="0.35">
      <c r="A124" s="2">
        <v>44006</v>
      </c>
      <c r="B124">
        <v>87.711875915527301</v>
      </c>
      <c r="D124" s="4">
        <v>-1.7651992133745575E-2</v>
      </c>
    </row>
    <row r="125" spans="1:4" x14ac:dyDescent="0.35">
      <c r="A125" s="2">
        <v>44007</v>
      </c>
      <c r="B125">
        <v>88.876319885253906</v>
      </c>
      <c r="D125" s="4">
        <v>1.3275784579593886E-2</v>
      </c>
    </row>
    <row r="126" spans="1:4" x14ac:dyDescent="0.35">
      <c r="A126" s="2">
        <v>44008</v>
      </c>
      <c r="B126">
        <v>86.145515441894503</v>
      </c>
      <c r="D126" s="4">
        <v>-3.0725894668963361E-2</v>
      </c>
    </row>
    <row r="127" spans="1:4" x14ac:dyDescent="0.35">
      <c r="A127" s="2">
        <v>44011</v>
      </c>
      <c r="B127">
        <v>88.130867004394503</v>
      </c>
      <c r="D127" s="4">
        <v>2.3046487705319141E-2</v>
      </c>
    </row>
    <row r="128" spans="1:4" x14ac:dyDescent="0.35">
      <c r="A128" s="2">
        <v>44012</v>
      </c>
      <c r="B128">
        <v>88.866554260253906</v>
      </c>
      <c r="D128" s="4">
        <v>8.3476684261227785E-3</v>
      </c>
    </row>
    <row r="129" spans="1:4" x14ac:dyDescent="0.35">
      <c r="A129" s="2">
        <v>44013</v>
      </c>
      <c r="B129">
        <v>88.698478698730398</v>
      </c>
      <c r="D129" s="4">
        <v>-1.8913252901793243E-3</v>
      </c>
    </row>
    <row r="130" spans="1:4" x14ac:dyDescent="0.35">
      <c r="A130" s="2">
        <v>44014</v>
      </c>
      <c r="B130">
        <v>88.698478698730398</v>
      </c>
      <c r="D130" s="4">
        <v>0</v>
      </c>
    </row>
    <row r="131" spans="1:4" x14ac:dyDescent="0.35">
      <c r="A131" s="2">
        <v>44018</v>
      </c>
      <c r="B131">
        <v>91.071174621582003</v>
      </c>
      <c r="D131" s="4">
        <v>2.6750130979253939E-2</v>
      </c>
    </row>
    <row r="132" spans="1:4" x14ac:dyDescent="0.35">
      <c r="A132" s="2">
        <v>44019</v>
      </c>
      <c r="B132">
        <v>90.788589477539006</v>
      </c>
      <c r="D132" s="4">
        <v>-3.1029043516479504E-3</v>
      </c>
    </row>
    <row r="133" spans="1:4" x14ac:dyDescent="0.35">
      <c r="A133" s="2">
        <v>44020</v>
      </c>
      <c r="B133">
        <v>92.903060913085895</v>
      </c>
      <c r="D133" s="4">
        <v>2.329005712848975E-2</v>
      </c>
    </row>
    <row r="134" spans="1:4" x14ac:dyDescent="0.35">
      <c r="A134" s="2">
        <v>44021</v>
      </c>
      <c r="B134">
        <v>93.302574157714801</v>
      </c>
      <c r="D134" s="4">
        <v>4.3003238074434957E-3</v>
      </c>
    </row>
    <row r="135" spans="1:4" x14ac:dyDescent="0.35">
      <c r="A135" s="2">
        <v>44022</v>
      </c>
      <c r="B135">
        <v>93.465797424316406</v>
      </c>
      <c r="D135" s="4">
        <v>1.7493972494875276E-3</v>
      </c>
    </row>
    <row r="136" spans="1:4" x14ac:dyDescent="0.35">
      <c r="A136" s="2">
        <v>44025</v>
      </c>
      <c r="B136">
        <v>93.034614562988196</v>
      </c>
      <c r="D136" s="4">
        <v>-4.6132689519645664E-3</v>
      </c>
    </row>
    <row r="137" spans="1:4" x14ac:dyDescent="0.35">
      <c r="A137" s="2">
        <v>44026</v>
      </c>
      <c r="B137">
        <v>94.574195861816406</v>
      </c>
      <c r="D137" s="4">
        <v>1.6548478284777124E-2</v>
      </c>
    </row>
    <row r="138" spans="1:4" x14ac:dyDescent="0.35">
      <c r="A138" s="2">
        <v>44027</v>
      </c>
      <c r="B138">
        <v>95.224632263183594</v>
      </c>
      <c r="D138" s="4">
        <v>6.8775250525794362E-3</v>
      </c>
    </row>
    <row r="139" spans="1:4" x14ac:dyDescent="0.35">
      <c r="A139" s="2">
        <v>44028</v>
      </c>
      <c r="B139">
        <v>94.0528564453125</v>
      </c>
      <c r="D139" s="4">
        <v>-1.2305385592170315E-2</v>
      </c>
    </row>
    <row r="140" spans="1:4" x14ac:dyDescent="0.35">
      <c r="A140" s="2">
        <v>44029</v>
      </c>
      <c r="B140">
        <v>93.862854003906193</v>
      </c>
      <c r="D140" s="4">
        <v>-2.0201666231879356E-3</v>
      </c>
    </row>
    <row r="141" spans="1:4" x14ac:dyDescent="0.35">
      <c r="A141" s="2">
        <v>44032</v>
      </c>
      <c r="B141">
        <v>95.840919494628906</v>
      </c>
      <c r="D141" s="4">
        <v>2.1073996861851185E-2</v>
      </c>
    </row>
    <row r="142" spans="1:4" x14ac:dyDescent="0.35">
      <c r="A142" s="2">
        <v>44033</v>
      </c>
      <c r="B142">
        <v>94.518157958984304</v>
      </c>
      <c r="D142" s="4">
        <v>-1.3801636530821559E-2</v>
      </c>
    </row>
    <row r="143" spans="1:4" x14ac:dyDescent="0.35">
      <c r="A143" s="2">
        <v>44034</v>
      </c>
      <c r="B143">
        <v>94.783676147460895</v>
      </c>
      <c r="D143" s="4">
        <v>2.8091765033317895E-3</v>
      </c>
    </row>
    <row r="144" spans="1:4" x14ac:dyDescent="0.35">
      <c r="A144" s="2">
        <v>44035</v>
      </c>
      <c r="B144">
        <v>90.469482421875</v>
      </c>
      <c r="D144" s="4">
        <v>-4.5516210184484041E-2</v>
      </c>
    </row>
    <row r="145" spans="1:4" x14ac:dyDescent="0.35">
      <c r="A145" s="2">
        <v>44036</v>
      </c>
      <c r="B145">
        <v>90.245346069335895</v>
      </c>
      <c r="D145" s="4">
        <v>-2.4774802125419049E-3</v>
      </c>
    </row>
    <row r="146" spans="1:4" x14ac:dyDescent="0.35">
      <c r="A146" s="2">
        <v>44039</v>
      </c>
      <c r="B146">
        <v>92.384185791015597</v>
      </c>
      <c r="D146" s="4">
        <v>2.3700277242401091E-2</v>
      </c>
    </row>
    <row r="147" spans="1:4" x14ac:dyDescent="0.35">
      <c r="A147" s="2">
        <v>44040</v>
      </c>
      <c r="B147">
        <v>90.866539001464801</v>
      </c>
      <c r="D147" s="4">
        <v>-1.642756037255011E-2</v>
      </c>
    </row>
    <row r="148" spans="1:4" x14ac:dyDescent="0.35">
      <c r="A148" s="2">
        <v>44041</v>
      </c>
      <c r="B148">
        <v>92.608306884765597</v>
      </c>
      <c r="D148" s="4">
        <v>1.9168418897001382E-2</v>
      </c>
    </row>
    <row r="149" spans="1:4" x14ac:dyDescent="0.35">
      <c r="A149" s="2">
        <v>44042</v>
      </c>
      <c r="B149">
        <v>93.7288818359375</v>
      </c>
      <c r="D149" s="4">
        <v>1.2100155902496468E-2</v>
      </c>
    </row>
    <row r="150" spans="1:4" x14ac:dyDescent="0.35">
      <c r="A150" s="2">
        <v>44043</v>
      </c>
      <c r="B150">
        <v>103.54122924804599</v>
      </c>
      <c r="D150" s="4">
        <v>0.10468862126493694</v>
      </c>
    </row>
    <row r="151" spans="1:4" x14ac:dyDescent="0.35">
      <c r="A151" s="2">
        <v>44046</v>
      </c>
      <c r="B151">
        <v>106.15020751953099</v>
      </c>
      <c r="D151" s="4">
        <v>2.5197482108647362E-2</v>
      </c>
    </row>
    <row r="152" spans="1:4" x14ac:dyDescent="0.35">
      <c r="A152" s="2">
        <v>44047</v>
      </c>
      <c r="B152">
        <v>106.859115600585</v>
      </c>
      <c r="D152" s="4">
        <v>6.6783485178167901E-3</v>
      </c>
    </row>
    <row r="153" spans="1:4" x14ac:dyDescent="0.35">
      <c r="A153" s="2">
        <v>44048</v>
      </c>
      <c r="B153">
        <v>107.246437072753</v>
      </c>
      <c r="D153" s="4">
        <v>3.6245992678407557E-3</v>
      </c>
    </row>
    <row r="154" spans="1:4" x14ac:dyDescent="0.35">
      <c r="A154" s="2">
        <v>44049</v>
      </c>
      <c r="B154">
        <v>110.98818206787099</v>
      </c>
      <c r="D154" s="4">
        <v>3.4889224269331276E-2</v>
      </c>
    </row>
    <row r="155" spans="1:4" x14ac:dyDescent="0.35">
      <c r="A155" s="2">
        <v>44050</v>
      </c>
      <c r="B155">
        <v>108.464782714843</v>
      </c>
      <c r="D155" s="4">
        <v>-2.2735748131137989E-2</v>
      </c>
    </row>
    <row r="156" spans="1:4" x14ac:dyDescent="0.35">
      <c r="A156" s="2">
        <v>44053</v>
      </c>
      <c r="B156">
        <v>110.041297912597</v>
      </c>
      <c r="D156" s="4">
        <v>1.45348117452897E-2</v>
      </c>
    </row>
    <row r="157" spans="1:4" x14ac:dyDescent="0.35">
      <c r="A157" s="2">
        <v>44054</v>
      </c>
      <c r="B157">
        <v>106.76869964599599</v>
      </c>
      <c r="D157" s="4">
        <v>-2.9739727981038078E-2</v>
      </c>
    </row>
    <row r="158" spans="1:4" x14ac:dyDescent="0.35">
      <c r="A158" s="2">
        <v>44055</v>
      </c>
      <c r="B158">
        <v>110.31707000732401</v>
      </c>
      <c r="D158" s="4">
        <v>3.3234181675837915E-2</v>
      </c>
    </row>
    <row r="159" spans="1:4" x14ac:dyDescent="0.35">
      <c r="A159" s="2">
        <v>44056</v>
      </c>
      <c r="B159">
        <v>112.269409179687</v>
      </c>
      <c r="D159" s="4">
        <v>1.7697525616238607E-2</v>
      </c>
    </row>
    <row r="160" spans="1:4" x14ac:dyDescent="0.35">
      <c r="A160" s="2">
        <v>44057</v>
      </c>
      <c r="B160">
        <v>112.16936492919901</v>
      </c>
      <c r="D160" s="4">
        <v>-8.9110872871767111E-4</v>
      </c>
    </row>
    <row r="161" spans="1:4" x14ac:dyDescent="0.35">
      <c r="A161" s="2">
        <v>44060</v>
      </c>
      <c r="B161">
        <v>111.87651824951099</v>
      </c>
      <c r="D161" s="4">
        <v>-2.6107545484710393E-3</v>
      </c>
    </row>
    <row r="162" spans="1:4" x14ac:dyDescent="0.35">
      <c r="A162" s="2">
        <v>44061</v>
      </c>
      <c r="B162">
        <v>112.80873870849599</v>
      </c>
      <c r="D162" s="4">
        <v>8.3325837590506602E-3</v>
      </c>
    </row>
    <row r="163" spans="1:4" x14ac:dyDescent="0.35">
      <c r="A163" s="2">
        <v>44062</v>
      </c>
      <c r="B163">
        <v>112.95028686523401</v>
      </c>
      <c r="D163" s="4">
        <v>1.2547623380825268E-3</v>
      </c>
    </row>
    <row r="164" spans="1:4" x14ac:dyDescent="0.35">
      <c r="A164" s="2">
        <v>44063</v>
      </c>
      <c r="B164">
        <v>115.45660400390599</v>
      </c>
      <c r="D164" s="4">
        <v>2.2189559745539933E-2</v>
      </c>
    </row>
    <row r="165" spans="1:4" x14ac:dyDescent="0.35">
      <c r="A165" s="2">
        <v>44064</v>
      </c>
      <c r="B165">
        <v>121.406372070312</v>
      </c>
      <c r="D165" s="4">
        <v>5.1532505374960902E-2</v>
      </c>
    </row>
    <row r="166" spans="1:4" x14ac:dyDescent="0.35">
      <c r="A166" s="2">
        <v>44067</v>
      </c>
      <c r="B166">
        <v>122.85840606689401</v>
      </c>
      <c r="D166" s="4">
        <v>1.1960113557639929E-2</v>
      </c>
    </row>
    <row r="167" spans="1:4" x14ac:dyDescent="0.35">
      <c r="A167" s="2">
        <v>44068</v>
      </c>
      <c r="B167">
        <v>121.850524902343</v>
      </c>
      <c r="D167" s="4">
        <v>-8.2035995485911783E-3</v>
      </c>
    </row>
    <row r="168" spans="1:4" x14ac:dyDescent="0.35">
      <c r="A168" s="2">
        <v>44069</v>
      </c>
      <c r="B168">
        <v>123.507591247558</v>
      </c>
      <c r="D168" s="4">
        <v>1.3599172810647042E-2</v>
      </c>
    </row>
    <row r="169" spans="1:4" x14ac:dyDescent="0.35">
      <c r="A169" s="2">
        <v>44070</v>
      </c>
      <c r="B169">
        <v>122.031127929687</v>
      </c>
      <c r="D169" s="4">
        <v>-1.1954433755505645E-2</v>
      </c>
    </row>
    <row r="170" spans="1:4" x14ac:dyDescent="0.35">
      <c r="A170" s="2">
        <v>44071</v>
      </c>
      <c r="B170">
        <v>121.833435058593</v>
      </c>
      <c r="D170" s="4">
        <v>-1.6200200264305797E-3</v>
      </c>
    </row>
    <row r="171" spans="1:4" x14ac:dyDescent="0.35">
      <c r="A171" s="2">
        <v>44074</v>
      </c>
      <c r="B171">
        <v>125.96508026123</v>
      </c>
      <c r="D171" s="4">
        <v>3.3912244209891806E-2</v>
      </c>
    </row>
    <row r="172" spans="1:4" x14ac:dyDescent="0.35">
      <c r="A172" s="2">
        <v>44075</v>
      </c>
      <c r="B172">
        <v>130.98262023925699</v>
      </c>
      <c r="D172" s="4">
        <v>3.9832785146657113E-2</v>
      </c>
    </row>
    <row r="173" spans="1:4" x14ac:dyDescent="0.35">
      <c r="A173" s="2">
        <v>44076</v>
      </c>
      <c r="B173">
        <v>128.26885986328099</v>
      </c>
      <c r="D173" s="4">
        <v>-2.0718476779735817E-2</v>
      </c>
    </row>
    <row r="174" spans="1:4" x14ac:dyDescent="0.35">
      <c r="A174" s="2">
        <v>44077</v>
      </c>
      <c r="B174">
        <v>117.99951171875</v>
      </c>
      <c r="D174" s="4">
        <v>-8.0061116591173209E-2</v>
      </c>
    </row>
    <row r="175" spans="1:4" x14ac:dyDescent="0.35">
      <c r="A175" s="2">
        <v>44078</v>
      </c>
      <c r="B175">
        <v>118.07762145996</v>
      </c>
      <c r="D175" s="4">
        <v>6.6194969853916596E-4</v>
      </c>
    </row>
    <row r="176" spans="1:4" x14ac:dyDescent="0.35">
      <c r="A176" s="2">
        <v>44082</v>
      </c>
      <c r="B176">
        <v>110.13158416748</v>
      </c>
      <c r="D176" s="4">
        <v>-6.7295031812395489E-2</v>
      </c>
    </row>
    <row r="177" spans="1:4" x14ac:dyDescent="0.35">
      <c r="A177" s="2">
        <v>44083</v>
      </c>
      <c r="B177">
        <v>114.524353027343</v>
      </c>
      <c r="D177" s="4">
        <v>3.9886549286195727E-2</v>
      </c>
    </row>
    <row r="178" spans="1:4" x14ac:dyDescent="0.35">
      <c r="A178" s="2">
        <v>44084</v>
      </c>
      <c r="B178">
        <v>110.78561401367099</v>
      </c>
      <c r="D178" s="4">
        <v>-3.2645799036117418E-2</v>
      </c>
    </row>
    <row r="179" spans="1:4" x14ac:dyDescent="0.35">
      <c r="A179" s="2">
        <v>44085</v>
      </c>
      <c r="B179">
        <v>109.33113861083901</v>
      </c>
      <c r="D179" s="4">
        <v>-1.3128738923200878E-2</v>
      </c>
    </row>
    <row r="180" spans="1:4" x14ac:dyDescent="0.35">
      <c r="A180" s="2">
        <v>44088</v>
      </c>
      <c r="B180">
        <v>112.611083984375</v>
      </c>
      <c r="D180" s="4">
        <v>3.0000102580207022E-2</v>
      </c>
    </row>
    <row r="181" spans="1:4" x14ac:dyDescent="0.35">
      <c r="A181" s="2">
        <v>44089</v>
      </c>
      <c r="B181">
        <v>112.78678894042901</v>
      </c>
      <c r="D181" s="4">
        <v>1.5602811893578039E-3</v>
      </c>
    </row>
    <row r="182" spans="1:4" x14ac:dyDescent="0.35">
      <c r="A182" s="2">
        <v>44090</v>
      </c>
      <c r="B182">
        <v>109.458030700683</v>
      </c>
      <c r="D182" s="4">
        <v>-2.9513724710295342E-2</v>
      </c>
    </row>
    <row r="183" spans="1:4" x14ac:dyDescent="0.35">
      <c r="A183" s="2">
        <v>44091</v>
      </c>
      <c r="B183">
        <v>107.710693359375</v>
      </c>
      <c r="D183" s="4">
        <v>-1.5963537166917896E-2</v>
      </c>
    </row>
    <row r="184" spans="1:4" x14ac:dyDescent="0.35">
      <c r="A184" s="2">
        <v>44092</v>
      </c>
      <c r="B184">
        <v>104.29409790039</v>
      </c>
      <c r="D184" s="4">
        <v>-3.1720113875653766E-2</v>
      </c>
    </row>
    <row r="185" spans="1:4" x14ac:dyDescent="0.35">
      <c r="A185" s="2">
        <v>44095</v>
      </c>
      <c r="B185">
        <v>107.45687103271401</v>
      </c>
      <c r="D185" s="4">
        <v>3.032552364894836E-2</v>
      </c>
    </row>
    <row r="186" spans="1:4" x14ac:dyDescent="0.35">
      <c r="A186" s="2">
        <v>44096</v>
      </c>
      <c r="B186">
        <v>109.14564514160099</v>
      </c>
      <c r="D186" s="4">
        <v>1.5715831781225598E-2</v>
      </c>
    </row>
    <row r="187" spans="1:4" x14ac:dyDescent="0.35">
      <c r="A187" s="2">
        <v>44097</v>
      </c>
      <c r="B187">
        <v>104.567405700683</v>
      </c>
      <c r="D187" s="4">
        <v>-4.1946148515393133E-2</v>
      </c>
    </row>
    <row r="188" spans="1:4" x14ac:dyDescent="0.35">
      <c r="A188" s="2">
        <v>44098</v>
      </c>
      <c r="B188">
        <v>105.641220092773</v>
      </c>
      <c r="D188" s="4">
        <v>1.02691119177587E-2</v>
      </c>
    </row>
    <row r="189" spans="1:4" x14ac:dyDescent="0.35">
      <c r="A189" s="2">
        <v>44099</v>
      </c>
      <c r="B189">
        <v>109.60446929931599</v>
      </c>
      <c r="D189" s="4">
        <v>3.7516124890099922E-2</v>
      </c>
    </row>
    <row r="190" spans="1:4" x14ac:dyDescent="0.35">
      <c r="A190" s="2">
        <v>44102</v>
      </c>
      <c r="B190">
        <v>112.220611572265</v>
      </c>
      <c r="D190" s="4">
        <v>2.3868937915338506E-2</v>
      </c>
    </row>
    <row r="191" spans="1:4" x14ac:dyDescent="0.35">
      <c r="A191" s="2">
        <v>44103</v>
      </c>
      <c r="B191">
        <v>111.37133026123</v>
      </c>
      <c r="D191" s="4">
        <v>-7.5679618845072572E-3</v>
      </c>
    </row>
    <row r="192" spans="1:4" x14ac:dyDescent="0.35">
      <c r="A192" s="2">
        <v>44104</v>
      </c>
      <c r="B192">
        <v>113.05034637451099</v>
      </c>
      <c r="D192" s="4">
        <v>1.5075837824175542E-2</v>
      </c>
    </row>
    <row r="193" spans="1:4" x14ac:dyDescent="0.35">
      <c r="A193" s="2">
        <v>44105</v>
      </c>
      <c r="B193">
        <v>114.00698852539</v>
      </c>
      <c r="D193" s="4">
        <v>8.462089516381166E-3</v>
      </c>
    </row>
    <row r="194" spans="1:4" x14ac:dyDescent="0.35">
      <c r="A194" s="2">
        <v>44106</v>
      </c>
      <c r="B194">
        <v>110.326820373535</v>
      </c>
      <c r="D194" s="4">
        <v>-3.2280197902389118E-2</v>
      </c>
    </row>
    <row r="195" spans="1:4" x14ac:dyDescent="0.35">
      <c r="A195" s="2">
        <v>44109</v>
      </c>
      <c r="B195">
        <v>113.723907470703</v>
      </c>
      <c r="D195" s="4">
        <v>3.0791126633274102E-2</v>
      </c>
    </row>
    <row r="196" spans="1:4" x14ac:dyDescent="0.35">
      <c r="A196" s="2">
        <v>44110</v>
      </c>
      <c r="B196">
        <v>110.463493347167</v>
      </c>
      <c r="D196" s="4">
        <v>-2.8669557668653978E-2</v>
      </c>
    </row>
    <row r="197" spans="1:4" x14ac:dyDescent="0.35">
      <c r="A197" s="2">
        <v>44111</v>
      </c>
      <c r="B197">
        <v>112.33773803710901</v>
      </c>
      <c r="D197" s="4">
        <v>1.6967095944101507E-2</v>
      </c>
    </row>
    <row r="198" spans="1:4" x14ac:dyDescent="0.35">
      <c r="A198" s="2">
        <v>44112</v>
      </c>
      <c r="B198">
        <v>112.230346679687</v>
      </c>
      <c r="D198" s="4">
        <v>-9.5596866465774699E-4</v>
      </c>
    </row>
    <row r="199" spans="1:4" x14ac:dyDescent="0.35">
      <c r="A199" s="2">
        <v>44113</v>
      </c>
      <c r="B199">
        <v>114.18270874023401</v>
      </c>
      <c r="D199" s="4">
        <v>1.7396026282616495E-2</v>
      </c>
    </row>
    <row r="200" spans="1:4" x14ac:dyDescent="0.35">
      <c r="A200" s="2">
        <v>44116</v>
      </c>
      <c r="B200">
        <v>121.435661315917</v>
      </c>
      <c r="D200" s="4">
        <v>6.3520586047608019E-2</v>
      </c>
    </row>
    <row r="201" spans="1:4" x14ac:dyDescent="0.35">
      <c r="A201" s="2">
        <v>44117</v>
      </c>
      <c r="B201">
        <v>118.21427154541</v>
      </c>
      <c r="D201" s="4">
        <v>-2.6527543355872263E-2</v>
      </c>
    </row>
    <row r="202" spans="1:4" x14ac:dyDescent="0.35">
      <c r="A202" s="2">
        <v>44118</v>
      </c>
      <c r="B202">
        <v>118.30216217041</v>
      </c>
      <c r="D202" s="4">
        <v>7.4348573865923306E-4</v>
      </c>
    </row>
    <row r="203" spans="1:4" x14ac:dyDescent="0.35">
      <c r="A203" s="2">
        <v>44119</v>
      </c>
      <c r="B203">
        <v>117.83358764648401</v>
      </c>
      <c r="D203" s="4">
        <v>-3.9608280637426496E-3</v>
      </c>
    </row>
    <row r="204" spans="1:4" x14ac:dyDescent="0.35">
      <c r="A204" s="2">
        <v>44120</v>
      </c>
      <c r="B204">
        <v>116.183860778808</v>
      </c>
      <c r="D204" s="4">
        <v>-1.4000480683193706E-2</v>
      </c>
    </row>
    <row r="205" spans="1:4" x14ac:dyDescent="0.35">
      <c r="A205" s="2">
        <v>44123</v>
      </c>
      <c r="B205">
        <v>113.216300964355</v>
      </c>
      <c r="D205" s="4">
        <v>-2.5541928066090569E-2</v>
      </c>
    </row>
    <row r="206" spans="1:4" x14ac:dyDescent="0.35">
      <c r="A206" s="2">
        <v>44124</v>
      </c>
      <c r="B206">
        <v>114.709838867187</v>
      </c>
      <c r="D206" s="4">
        <v>1.3191898075721742E-2</v>
      </c>
    </row>
    <row r="207" spans="1:4" x14ac:dyDescent="0.35">
      <c r="A207" s="2">
        <v>44125</v>
      </c>
      <c r="B207">
        <v>114.085075378417</v>
      </c>
      <c r="D207" s="4">
        <v>-5.4464681926138514E-3</v>
      </c>
    </row>
    <row r="208" spans="1:4" x14ac:dyDescent="0.35">
      <c r="A208" s="2">
        <v>44126</v>
      </c>
      <c r="B208">
        <v>112.991775512695</v>
      </c>
      <c r="D208" s="4">
        <v>-9.5831979958426183E-3</v>
      </c>
    </row>
    <row r="209" spans="1:4" x14ac:dyDescent="0.35">
      <c r="A209" s="2">
        <v>44127</v>
      </c>
      <c r="B209">
        <v>112.298713684082</v>
      </c>
      <c r="D209" s="4">
        <v>-6.1337369509263384E-3</v>
      </c>
    </row>
    <row r="210" spans="1:4" x14ac:dyDescent="0.35">
      <c r="A210" s="2">
        <v>44130</v>
      </c>
      <c r="B210">
        <v>112.308448791503</v>
      </c>
      <c r="D210" s="4">
        <v>8.6689393864025632E-5</v>
      </c>
    </row>
    <row r="211" spans="1:4" x14ac:dyDescent="0.35">
      <c r="A211" s="2">
        <v>44131</v>
      </c>
      <c r="B211">
        <v>113.82150268554599</v>
      </c>
      <c r="D211" s="4">
        <v>1.3472306939720458E-2</v>
      </c>
    </row>
    <row r="212" spans="1:4" x14ac:dyDescent="0.35">
      <c r="A212" s="2">
        <v>44132</v>
      </c>
      <c r="B212">
        <v>108.55019378662099</v>
      </c>
      <c r="D212" s="4">
        <v>-4.6312065598782426E-2</v>
      </c>
    </row>
    <row r="213" spans="1:4" x14ac:dyDescent="0.35">
      <c r="A213" s="2">
        <v>44133</v>
      </c>
      <c r="B213">
        <v>112.57203674316401</v>
      </c>
      <c r="D213" s="4">
        <v>3.7050536864529304E-2</v>
      </c>
    </row>
    <row r="214" spans="1:4" x14ac:dyDescent="0.35">
      <c r="A214" s="2">
        <v>44134</v>
      </c>
      <c r="B214">
        <v>106.265968322753</v>
      </c>
      <c r="D214" s="4">
        <v>-5.6018071653073709E-2</v>
      </c>
    </row>
    <row r="215" spans="1:4" x14ac:dyDescent="0.35">
      <c r="A215" s="2">
        <v>44137</v>
      </c>
      <c r="B215">
        <v>106.178092956542</v>
      </c>
      <c r="D215" s="4">
        <v>-8.269379896308493E-4</v>
      </c>
    </row>
    <row r="216" spans="1:4" x14ac:dyDescent="0.35">
      <c r="A216" s="2">
        <v>44138</v>
      </c>
      <c r="B216">
        <v>107.808303833007</v>
      </c>
      <c r="D216" s="4">
        <v>1.5353552047052021E-2</v>
      </c>
    </row>
    <row r="217" spans="1:4" x14ac:dyDescent="0.35">
      <c r="A217" s="2">
        <v>44139</v>
      </c>
      <c r="B217">
        <v>112.21086120605401</v>
      </c>
      <c r="D217" s="4">
        <v>4.0836904176384081E-2</v>
      </c>
    </row>
    <row r="218" spans="1:4" x14ac:dyDescent="0.35">
      <c r="A218" s="2">
        <v>44140</v>
      </c>
      <c r="B218">
        <v>116.19361877441401</v>
      </c>
      <c r="D218" s="4">
        <v>3.5493512174783248E-2</v>
      </c>
    </row>
    <row r="219" spans="1:4" x14ac:dyDescent="0.35">
      <c r="A219" s="2">
        <v>44141</v>
      </c>
      <c r="B219">
        <v>116.06160736083901</v>
      </c>
      <c r="D219" s="4">
        <v>-1.136133076561574E-3</v>
      </c>
    </row>
    <row r="220" spans="1:4" x14ac:dyDescent="0.35">
      <c r="A220" s="2">
        <v>44144</v>
      </c>
      <c r="B220">
        <v>113.744079589843</v>
      </c>
      <c r="D220" s="4">
        <v>-1.9968082673461063E-2</v>
      </c>
    </row>
    <row r="221" spans="1:4" x14ac:dyDescent="0.35">
      <c r="A221" s="2">
        <v>44145</v>
      </c>
      <c r="B221">
        <v>113.401847839355</v>
      </c>
      <c r="D221" s="4">
        <v>-3.0087873735676895E-3</v>
      </c>
    </row>
    <row r="222" spans="1:4" x14ac:dyDescent="0.35">
      <c r="A222" s="2">
        <v>44146</v>
      </c>
      <c r="B222">
        <v>116.84389495849599</v>
      </c>
      <c r="D222" s="4">
        <v>3.0352654605919627E-2</v>
      </c>
    </row>
    <row r="223" spans="1:4" x14ac:dyDescent="0.35">
      <c r="A223" s="2">
        <v>44147</v>
      </c>
      <c r="B223">
        <v>116.570098876953</v>
      </c>
      <c r="D223" s="4">
        <v>-2.3432639047188397E-3</v>
      </c>
    </row>
    <row r="224" spans="1:4" x14ac:dyDescent="0.35">
      <c r="A224" s="2">
        <v>44148</v>
      </c>
      <c r="B224">
        <v>116.618995666503</v>
      </c>
      <c r="D224" s="4">
        <v>4.1946253817304324E-4</v>
      </c>
    </row>
    <row r="225" spans="1:4" x14ac:dyDescent="0.35">
      <c r="A225" s="2">
        <v>44151</v>
      </c>
      <c r="B225">
        <v>117.63595581054599</v>
      </c>
      <c r="D225" s="4">
        <v>8.7203644503268674E-3</v>
      </c>
    </row>
    <row r="226" spans="1:4" x14ac:dyDescent="0.35">
      <c r="A226" s="2">
        <v>44152</v>
      </c>
      <c r="B226">
        <v>116.74610137939401</v>
      </c>
      <c r="D226" s="4">
        <v>-7.5644765668849701E-3</v>
      </c>
    </row>
    <row r="227" spans="1:4" x14ac:dyDescent="0.35">
      <c r="A227" s="2">
        <v>44153</v>
      </c>
      <c r="B227">
        <v>115.416221618652</v>
      </c>
      <c r="D227" s="4">
        <v>-1.1391213454060023E-2</v>
      </c>
    </row>
    <row r="228" spans="1:4" x14ac:dyDescent="0.35">
      <c r="A228" s="2">
        <v>44154</v>
      </c>
      <c r="B228">
        <v>116.012718200683</v>
      </c>
      <c r="D228" s="4">
        <v>5.1682213614814287E-3</v>
      </c>
    </row>
    <row r="229" spans="1:4" x14ac:dyDescent="0.35">
      <c r="A229" s="2">
        <v>44155</v>
      </c>
      <c r="B229">
        <v>114.741493225097</v>
      </c>
      <c r="D229" s="4">
        <v>-1.0957634605086808E-2</v>
      </c>
    </row>
    <row r="230" spans="1:4" x14ac:dyDescent="0.35">
      <c r="A230" s="2">
        <v>44158</v>
      </c>
      <c r="B230">
        <v>111.32878875732401</v>
      </c>
      <c r="D230" s="4">
        <v>-2.974254885351757E-2</v>
      </c>
    </row>
    <row r="231" spans="1:4" x14ac:dyDescent="0.35">
      <c r="A231" s="2">
        <v>44159</v>
      </c>
      <c r="B231">
        <v>112.61954498291</v>
      </c>
      <c r="D231" s="4">
        <v>1.1594092058250904E-2</v>
      </c>
    </row>
    <row r="232" spans="1:4" x14ac:dyDescent="0.35">
      <c r="A232" s="2">
        <v>44160</v>
      </c>
      <c r="B232">
        <v>113.46051025390599</v>
      </c>
      <c r="D232" s="4">
        <v>7.4673119228425566E-3</v>
      </c>
    </row>
    <row r="233" spans="1:4" x14ac:dyDescent="0.35">
      <c r="A233" s="2">
        <v>44162</v>
      </c>
      <c r="B233">
        <v>114.008094787597</v>
      </c>
      <c r="D233" s="4">
        <v>4.8262125074671758E-3</v>
      </c>
    </row>
    <row r="234" spans="1:4" x14ac:dyDescent="0.35">
      <c r="A234" s="2">
        <v>44165</v>
      </c>
      <c r="B234">
        <v>116.4136428833</v>
      </c>
      <c r="D234" s="4">
        <v>2.1099800853480177E-2</v>
      </c>
    </row>
    <row r="235" spans="1:4" x14ac:dyDescent="0.35">
      <c r="A235" s="2">
        <v>44166</v>
      </c>
      <c r="B235">
        <v>120.00236511230401</v>
      </c>
      <c r="D235" s="4">
        <v>3.0827333808302493E-2</v>
      </c>
    </row>
    <row r="236" spans="1:4" x14ac:dyDescent="0.35">
      <c r="A236" s="2">
        <v>44167</v>
      </c>
      <c r="B236">
        <v>120.35438537597599</v>
      </c>
      <c r="D236" s="4">
        <v>2.9334443812216726E-3</v>
      </c>
    </row>
    <row r="237" spans="1:4" x14ac:dyDescent="0.35">
      <c r="A237" s="2">
        <v>44168</v>
      </c>
      <c r="B237">
        <v>120.217491149902</v>
      </c>
      <c r="D237" s="4">
        <v>-1.1374261573132705E-3</v>
      </c>
    </row>
    <row r="238" spans="1:4" x14ac:dyDescent="0.35">
      <c r="A238" s="2">
        <v>44169</v>
      </c>
      <c r="B238">
        <v>119.542770385742</v>
      </c>
      <c r="D238" s="4">
        <v>-5.6125007909096913E-3</v>
      </c>
    </row>
    <row r="239" spans="1:4" x14ac:dyDescent="0.35">
      <c r="A239" s="2">
        <v>44172</v>
      </c>
      <c r="B239">
        <v>121.009552001953</v>
      </c>
      <c r="D239" s="4">
        <v>1.2269931602538309E-2</v>
      </c>
    </row>
    <row r="240" spans="1:4" x14ac:dyDescent="0.35">
      <c r="A240" s="2">
        <v>44173</v>
      </c>
      <c r="B240">
        <v>121.625610351562</v>
      </c>
      <c r="D240" s="4">
        <v>5.0909894253559074E-3</v>
      </c>
    </row>
    <row r="241" spans="1:6" x14ac:dyDescent="0.35">
      <c r="A241" s="2">
        <v>44174</v>
      </c>
      <c r="B241">
        <v>119.08318328857401</v>
      </c>
      <c r="D241" s="4">
        <v>-2.0903714732769196E-2</v>
      </c>
    </row>
    <row r="242" spans="1:6" x14ac:dyDescent="0.35">
      <c r="A242" s="2">
        <v>44175</v>
      </c>
      <c r="B242">
        <v>120.510848999023</v>
      </c>
      <c r="D242" s="4">
        <v>1.1988810435049624E-2</v>
      </c>
    </row>
    <row r="243" spans="1:6" x14ac:dyDescent="0.35">
      <c r="A243" s="2">
        <v>44176</v>
      </c>
      <c r="B243">
        <v>119.69922637939401</v>
      </c>
      <c r="D243" s="4">
        <v>-6.7348510642022408E-3</v>
      </c>
    </row>
    <row r="244" spans="1:6" x14ac:dyDescent="0.35">
      <c r="A244" s="2">
        <v>44179</v>
      </c>
      <c r="B244">
        <v>119.08318328857401</v>
      </c>
      <c r="D244" s="4">
        <v>-5.1465920829547596E-3</v>
      </c>
    </row>
    <row r="245" spans="1:6" x14ac:dyDescent="0.35">
      <c r="A245" s="2">
        <v>44180</v>
      </c>
      <c r="B245">
        <v>125.04810333251901</v>
      </c>
      <c r="D245" s="4">
        <v>5.0090364392512354E-2</v>
      </c>
    </row>
    <row r="246" spans="1:6" x14ac:dyDescent="0.35">
      <c r="A246" s="2">
        <v>44181</v>
      </c>
      <c r="B246">
        <v>124.97963714599599</v>
      </c>
      <c r="D246" s="4">
        <v>-5.4751879235581669E-4</v>
      </c>
    </row>
    <row r="247" spans="1:6" x14ac:dyDescent="0.35">
      <c r="A247" s="2">
        <v>44182</v>
      </c>
      <c r="B247">
        <v>125.84994506835901</v>
      </c>
      <c r="D247" s="4">
        <v>6.9635977687017014E-3</v>
      </c>
    </row>
    <row r="248" spans="1:6" x14ac:dyDescent="0.35">
      <c r="A248" s="2">
        <v>44183</v>
      </c>
      <c r="B248">
        <v>123.85511779785099</v>
      </c>
      <c r="D248" s="4">
        <v>-1.5850839421697516E-2</v>
      </c>
    </row>
    <row r="249" spans="1:6" x14ac:dyDescent="0.35">
      <c r="A249" s="2">
        <v>44186</v>
      </c>
      <c r="B249">
        <v>125.390342712402</v>
      </c>
      <c r="D249" s="4">
        <v>1.2395328847506493E-2</v>
      </c>
    </row>
    <row r="250" spans="1:6" x14ac:dyDescent="0.35">
      <c r="A250" s="2">
        <v>44187</v>
      </c>
      <c r="B250">
        <v>128.95948791503901</v>
      </c>
      <c r="D250" s="4">
        <v>2.8464275042482834E-2</v>
      </c>
    </row>
    <row r="251" spans="1:6" x14ac:dyDescent="0.35">
      <c r="A251" s="2">
        <v>44188</v>
      </c>
      <c r="B251">
        <v>128.05992126464801</v>
      </c>
      <c r="D251" s="4">
        <v>-6.9755755465130687E-3</v>
      </c>
    </row>
    <row r="252" spans="1:6" x14ac:dyDescent="0.35">
      <c r="A252" s="2">
        <v>44189</v>
      </c>
      <c r="B252">
        <v>129.04751586914</v>
      </c>
      <c r="D252" s="4">
        <v>7.711972604223627E-3</v>
      </c>
    </row>
    <row r="253" spans="1:6" x14ac:dyDescent="0.35">
      <c r="A253" s="2">
        <v>44193</v>
      </c>
      <c r="B253">
        <v>133.66300964355401</v>
      </c>
      <c r="D253" s="4">
        <v>3.5765847512278626E-2</v>
      </c>
      <c r="F253" s="9"/>
    </row>
    <row r="254" spans="1:6" x14ac:dyDescent="0.35">
      <c r="A254" s="2">
        <v>44194</v>
      </c>
      <c r="B254">
        <v>131.88328552246</v>
      </c>
      <c r="D254" s="4">
        <v>-1.3315008586445076E-2</v>
      </c>
    </row>
    <row r="255" spans="1:6" x14ac:dyDescent="0.35">
      <c r="A255" s="2">
        <v>44195</v>
      </c>
      <c r="B255">
        <v>130.75877380371</v>
      </c>
      <c r="D255" s="4">
        <v>-8.5265673682242138E-3</v>
      </c>
      <c r="E255" s="6"/>
    </row>
    <row r="256" spans="1:6" x14ac:dyDescent="0.35">
      <c r="A256" s="2">
        <v>44196</v>
      </c>
      <c r="B256">
        <v>129.75158691406199</v>
      </c>
      <c r="D256" s="4">
        <v>-7.7026333327350205E-3</v>
      </c>
    </row>
    <row r="257" spans="1:4" x14ac:dyDescent="0.35">
      <c r="A257" s="2">
        <v>44200</v>
      </c>
      <c r="B257">
        <v>126.54418182373</v>
      </c>
      <c r="D257" s="4">
        <v>-2.4719582755132974E-2</v>
      </c>
    </row>
    <row r="258" spans="1:4" x14ac:dyDescent="0.35">
      <c r="A258" s="2">
        <v>44201</v>
      </c>
      <c r="B258">
        <v>128.108795166015</v>
      </c>
      <c r="D258" s="4">
        <v>1.2364166568040513E-2</v>
      </c>
    </row>
    <row r="259" spans="1:4" x14ac:dyDescent="0.35">
      <c r="A259" s="2">
        <v>44202</v>
      </c>
      <c r="B259">
        <v>123.79644775390599</v>
      </c>
      <c r="D259" s="4">
        <v>-3.3661603065743284E-2</v>
      </c>
    </row>
    <row r="260" spans="1:4" x14ac:dyDescent="0.35">
      <c r="A260" s="2">
        <v>44203</v>
      </c>
      <c r="B260">
        <v>128.02079772949199</v>
      </c>
      <c r="D260" s="4">
        <v>3.4123353716768667E-2</v>
      </c>
    </row>
    <row r="261" spans="1:4" x14ac:dyDescent="0.35">
      <c r="A261" s="2">
        <v>44204</v>
      </c>
      <c r="B261">
        <v>129.12574768066401</v>
      </c>
      <c r="D261" s="4">
        <v>8.6310191060265939E-3</v>
      </c>
    </row>
    <row r="262" spans="1:4" x14ac:dyDescent="0.35">
      <c r="A262" s="2">
        <v>44207</v>
      </c>
      <c r="B262">
        <v>126.123718261718</v>
      </c>
      <c r="D262" s="4">
        <v>-2.3248883145832511E-2</v>
      </c>
    </row>
    <row r="263" spans="1:4" x14ac:dyDescent="0.35">
      <c r="A263" s="2">
        <v>44208</v>
      </c>
      <c r="B263">
        <v>125.94773101806599</v>
      </c>
      <c r="D263" s="4">
        <v>-1.3953540704121359E-3</v>
      </c>
    </row>
    <row r="264" spans="1:4" x14ac:dyDescent="0.35">
      <c r="A264" s="2">
        <v>44209</v>
      </c>
      <c r="B264">
        <v>127.991439819335</v>
      </c>
      <c r="D264" s="4">
        <v>1.6226642471041108E-2</v>
      </c>
    </row>
    <row r="265" spans="1:4" x14ac:dyDescent="0.35">
      <c r="A265" s="2">
        <v>44210</v>
      </c>
      <c r="B265">
        <v>126.05531311035099</v>
      </c>
      <c r="D265" s="4">
        <v>-1.5127001553517316E-2</v>
      </c>
    </row>
    <row r="266" spans="1:4" x14ac:dyDescent="0.35">
      <c r="A266" s="2">
        <v>44211</v>
      </c>
      <c r="B266">
        <v>124.324485778808</v>
      </c>
      <c r="D266" s="4">
        <v>-1.3730697174404671E-2</v>
      </c>
    </row>
    <row r="267" spans="1:4" x14ac:dyDescent="0.35">
      <c r="A267" s="2">
        <v>44215</v>
      </c>
      <c r="B267">
        <v>124.99919891357401</v>
      </c>
      <c r="D267" s="4">
        <v>5.4270333839661067E-3</v>
      </c>
    </row>
    <row r="268" spans="1:4" x14ac:dyDescent="0.35">
      <c r="A268" s="2">
        <v>44216</v>
      </c>
      <c r="B268">
        <v>129.10621643066401</v>
      </c>
      <c r="D268" s="4">
        <v>3.2856350702932469E-2</v>
      </c>
    </row>
    <row r="269" spans="1:4" x14ac:dyDescent="0.35">
      <c r="A269" s="2">
        <v>44217</v>
      </c>
      <c r="B269">
        <v>133.83897399902301</v>
      </c>
      <c r="D269" s="4">
        <v>3.6657859700355511E-2</v>
      </c>
    </row>
    <row r="270" spans="1:4" x14ac:dyDescent="0.35">
      <c r="A270" s="2">
        <v>44218</v>
      </c>
      <c r="B270">
        <v>135.99028015136699</v>
      </c>
      <c r="D270" s="4">
        <v>1.6073839241771859E-2</v>
      </c>
    </row>
    <row r="271" spans="1:4" x14ac:dyDescent="0.35">
      <c r="A271" s="2">
        <v>44221</v>
      </c>
      <c r="B271">
        <v>139.75503540039</v>
      </c>
      <c r="D271" s="4">
        <v>2.7684002451002776E-2</v>
      </c>
    </row>
    <row r="272" spans="1:4" x14ac:dyDescent="0.35">
      <c r="A272" s="2">
        <v>44222</v>
      </c>
      <c r="B272">
        <v>139.98971557617099</v>
      </c>
      <c r="D272" s="4">
        <v>1.6792251893367194E-3</v>
      </c>
    </row>
    <row r="273" spans="1:4" x14ac:dyDescent="0.35">
      <c r="A273" s="2">
        <v>44223</v>
      </c>
      <c r="B273">
        <v>138.91407775878901</v>
      </c>
      <c r="D273" s="4">
        <v>-7.6836917123151993E-3</v>
      </c>
    </row>
    <row r="274" spans="1:4" x14ac:dyDescent="0.35">
      <c r="A274" s="2">
        <v>44224</v>
      </c>
      <c r="B274">
        <v>134.05412292480401</v>
      </c>
      <c r="D274" s="4">
        <v>-3.4985329870049986E-2</v>
      </c>
    </row>
    <row r="275" spans="1:4" x14ac:dyDescent="0.35">
      <c r="A275" s="2">
        <v>44225</v>
      </c>
      <c r="B275">
        <v>129.03775024414</v>
      </c>
      <c r="D275" s="4">
        <v>-3.7420502788100607E-2</v>
      </c>
    </row>
    <row r="276" spans="1:4" x14ac:dyDescent="0.35">
      <c r="A276" s="2">
        <v>44228</v>
      </c>
      <c r="B276">
        <v>131.16949462890599</v>
      </c>
      <c r="D276" s="4">
        <v>1.6520315804737118E-2</v>
      </c>
    </row>
    <row r="277" spans="1:4" x14ac:dyDescent="0.35">
      <c r="A277" s="2">
        <v>44229</v>
      </c>
      <c r="B277">
        <v>132.00068664550699</v>
      </c>
      <c r="D277" s="4">
        <v>6.3367783717740434E-3</v>
      </c>
    </row>
    <row r="278" spans="1:4" x14ac:dyDescent="0.35">
      <c r="A278" s="2">
        <v>44230</v>
      </c>
      <c r="B278">
        <v>130.97389221191401</v>
      </c>
      <c r="D278" s="4">
        <v>-7.778705245302886E-3</v>
      </c>
    </row>
    <row r="279" spans="1:4" x14ac:dyDescent="0.35">
      <c r="A279" s="2">
        <v>44231</v>
      </c>
      <c r="B279">
        <v>134.34750366210901</v>
      </c>
      <c r="D279" s="4">
        <v>2.5757892609135746E-2</v>
      </c>
    </row>
    <row r="280" spans="1:4" x14ac:dyDescent="0.35">
      <c r="A280" s="2">
        <v>44232</v>
      </c>
      <c r="B280">
        <v>133.93125915527301</v>
      </c>
      <c r="D280" s="4">
        <v>-3.098267518858222E-3</v>
      </c>
    </row>
    <row r="281" spans="1:4" x14ac:dyDescent="0.35">
      <c r="A281" s="2">
        <v>44235</v>
      </c>
      <c r="B281">
        <v>134.07818603515599</v>
      </c>
      <c r="D281" s="4">
        <v>1.0970320208267825E-3</v>
      </c>
    </row>
    <row r="282" spans="1:4" x14ac:dyDescent="0.35">
      <c r="A282" s="2">
        <v>44236</v>
      </c>
      <c r="B282">
        <v>133.19677734375</v>
      </c>
      <c r="D282" s="4">
        <v>-6.5738411107000294E-3</v>
      </c>
    </row>
    <row r="283" spans="1:4" x14ac:dyDescent="0.35">
      <c r="A283" s="2">
        <v>44237</v>
      </c>
      <c r="B283">
        <v>132.58963012695301</v>
      </c>
      <c r="D283" s="4">
        <v>-4.5582725716409866E-3</v>
      </c>
    </row>
    <row r="284" spans="1:4" x14ac:dyDescent="0.35">
      <c r="A284" s="2">
        <v>44238</v>
      </c>
      <c r="B284">
        <v>132.33500671386699</v>
      </c>
      <c r="D284" s="4">
        <v>-1.9203870833807146E-3</v>
      </c>
    </row>
    <row r="285" spans="1:4" x14ac:dyDescent="0.35">
      <c r="A285" s="2">
        <v>44239</v>
      </c>
      <c r="B285">
        <v>132.570053100585</v>
      </c>
      <c r="D285" s="4">
        <v>1.7761467094359329E-3</v>
      </c>
    </row>
    <row r="286" spans="1:4" x14ac:dyDescent="0.35">
      <c r="A286" s="2">
        <v>44243</v>
      </c>
      <c r="B286">
        <v>130.435134887695</v>
      </c>
      <c r="D286" s="4">
        <v>-1.6104076018361169E-2</v>
      </c>
    </row>
    <row r="287" spans="1:4" x14ac:dyDescent="0.35">
      <c r="A287" s="2">
        <v>44244</v>
      </c>
      <c r="B287">
        <v>128.13375854492099</v>
      </c>
      <c r="D287" s="4">
        <v>-1.7643837642024152E-2</v>
      </c>
    </row>
    <row r="288" spans="1:4" x14ac:dyDescent="0.35">
      <c r="A288" s="2">
        <v>44245</v>
      </c>
      <c r="B288">
        <v>127.02710723876901</v>
      </c>
      <c r="D288" s="4">
        <v>-8.6366880884402031E-3</v>
      </c>
    </row>
    <row r="289" spans="1:4" x14ac:dyDescent="0.35">
      <c r="A289" s="2">
        <v>44246</v>
      </c>
      <c r="B289">
        <v>127.18380737304599</v>
      </c>
      <c r="D289" s="4">
        <v>1.2335960227956022E-3</v>
      </c>
    </row>
    <row r="290" spans="1:4" x14ac:dyDescent="0.35">
      <c r="A290" s="2">
        <v>44249</v>
      </c>
      <c r="B290">
        <v>123.39385223388599</v>
      </c>
      <c r="D290" s="4">
        <v>-2.9799038237969921E-2</v>
      </c>
    </row>
    <row r="291" spans="1:4" x14ac:dyDescent="0.35">
      <c r="A291" s="2">
        <v>44250</v>
      </c>
      <c r="B291">
        <v>123.25672912597599</v>
      </c>
      <c r="D291" s="4">
        <v>-1.1112636928628516E-3</v>
      </c>
    </row>
    <row r="292" spans="1:4" x14ac:dyDescent="0.35">
      <c r="A292" s="2">
        <v>44251</v>
      </c>
      <c r="B292">
        <v>122.757278442382</v>
      </c>
      <c r="D292" s="4">
        <v>-4.0521169686689174E-3</v>
      </c>
    </row>
    <row r="293" spans="1:4" x14ac:dyDescent="0.35">
      <c r="A293" s="2">
        <v>44252</v>
      </c>
      <c r="B293">
        <v>118.48748016357401</v>
      </c>
      <c r="D293" s="4">
        <v>-3.4782444943271429E-2</v>
      </c>
    </row>
    <row r="294" spans="1:4" x14ac:dyDescent="0.35">
      <c r="A294" s="2">
        <v>44253</v>
      </c>
      <c r="B294">
        <v>118.75187683105401</v>
      </c>
      <c r="D294" s="4">
        <v>2.2314312627376154E-3</v>
      </c>
    </row>
    <row r="295" spans="1:4" x14ac:dyDescent="0.35">
      <c r="A295" s="2">
        <v>44256</v>
      </c>
      <c r="B295">
        <v>125.146835327148</v>
      </c>
      <c r="D295" s="4">
        <v>5.3851430956261659E-2</v>
      </c>
    </row>
    <row r="296" spans="1:4" x14ac:dyDescent="0.35">
      <c r="A296" s="2">
        <v>44257</v>
      </c>
      <c r="B296">
        <v>122.532051086425</v>
      </c>
      <c r="D296" s="4">
        <v>-2.0893730423847012E-2</v>
      </c>
    </row>
    <row r="297" spans="1:4" x14ac:dyDescent="0.35">
      <c r="A297" s="2">
        <v>44258</v>
      </c>
      <c r="B297">
        <v>119.535346984863</v>
      </c>
      <c r="D297" s="4">
        <v>-2.4456491791264856E-2</v>
      </c>
    </row>
    <row r="298" spans="1:4" x14ac:dyDescent="0.35">
      <c r="A298" s="2">
        <v>44259</v>
      </c>
      <c r="B298">
        <v>117.645263671875</v>
      </c>
      <c r="D298" s="4">
        <v>-1.5811919743097813E-2</v>
      </c>
    </row>
    <row r="299" spans="1:4" x14ac:dyDescent="0.35">
      <c r="A299" s="2">
        <v>44260</v>
      </c>
      <c r="B299">
        <v>118.908569335937</v>
      </c>
      <c r="D299" s="4">
        <v>1.0738261997401688E-2</v>
      </c>
    </row>
    <row r="300" spans="1:4" x14ac:dyDescent="0.35">
      <c r="A300" s="2">
        <v>44263</v>
      </c>
      <c r="B300">
        <v>113.953224182128</v>
      </c>
      <c r="D300" s="4">
        <v>-4.1673574759858667E-2</v>
      </c>
    </row>
    <row r="301" spans="1:4" x14ac:dyDescent="0.35">
      <c r="A301" s="2">
        <v>44264</v>
      </c>
      <c r="B301">
        <v>118.585411071777</v>
      </c>
      <c r="D301" s="4">
        <v>4.0649897560121051E-2</v>
      </c>
    </row>
    <row r="302" spans="1:4" x14ac:dyDescent="0.35">
      <c r="A302" s="2">
        <v>44265</v>
      </c>
      <c r="B302">
        <v>117.498359680175</v>
      </c>
      <c r="D302" s="4">
        <v>-9.1668223078810174E-3</v>
      </c>
    </row>
    <row r="303" spans="1:4" x14ac:dyDescent="0.35">
      <c r="A303" s="2">
        <v>44266</v>
      </c>
      <c r="B303">
        <v>119.43741607666</v>
      </c>
      <c r="D303" s="4">
        <v>1.6502838012062648E-2</v>
      </c>
    </row>
    <row r="304" spans="1:4" x14ac:dyDescent="0.35">
      <c r="A304" s="2">
        <v>44267</v>
      </c>
      <c r="B304">
        <v>118.526634216308</v>
      </c>
      <c r="D304" s="4">
        <v>-7.6255991654023969E-3</v>
      </c>
    </row>
    <row r="305" spans="1:4" x14ac:dyDescent="0.35">
      <c r="A305" s="2">
        <v>44270</v>
      </c>
      <c r="B305">
        <v>121.425422668457</v>
      </c>
      <c r="D305" s="4">
        <v>2.4456852852657418E-2</v>
      </c>
    </row>
    <row r="306" spans="1:4" x14ac:dyDescent="0.35">
      <c r="A306" s="2">
        <v>44271</v>
      </c>
      <c r="B306">
        <v>122.972732543945</v>
      </c>
      <c r="D306" s="4">
        <v>1.2742882351028051E-2</v>
      </c>
    </row>
    <row r="307" spans="1:4" x14ac:dyDescent="0.35">
      <c r="A307" s="2">
        <v>44272</v>
      </c>
      <c r="B307">
        <v>122.17949676513599</v>
      </c>
      <c r="D307" s="4">
        <v>-6.4505013623693541E-3</v>
      </c>
    </row>
    <row r="308" spans="1:4" x14ac:dyDescent="0.35">
      <c r="A308" s="2">
        <v>44273</v>
      </c>
      <c r="B308">
        <v>118.036994934082</v>
      </c>
      <c r="D308" s="4">
        <v>-3.3905049052682434E-2</v>
      </c>
    </row>
    <row r="309" spans="1:4" x14ac:dyDescent="0.35">
      <c r="A309" s="2">
        <v>44274</v>
      </c>
      <c r="B309">
        <v>117.50814056396401</v>
      </c>
      <c r="D309" s="4">
        <v>-4.480412013312729E-3</v>
      </c>
    </row>
    <row r="310" spans="1:4" x14ac:dyDescent="0.35">
      <c r="A310" s="2">
        <v>44277</v>
      </c>
      <c r="B310">
        <v>120.83782196044901</v>
      </c>
      <c r="D310" s="4">
        <v>2.8335750872277021E-2</v>
      </c>
    </row>
    <row r="311" spans="1:4" x14ac:dyDescent="0.35">
      <c r="A311" s="2">
        <v>44278</v>
      </c>
      <c r="B311">
        <v>120.005416870117</v>
      </c>
      <c r="D311" s="4">
        <v>-6.888613819971523E-3</v>
      </c>
    </row>
    <row r="312" spans="1:4" x14ac:dyDescent="0.35">
      <c r="A312" s="2">
        <v>44279</v>
      </c>
      <c r="B312">
        <v>117.606086730957</v>
      </c>
      <c r="D312" s="4">
        <v>-1.9993515307369925E-2</v>
      </c>
    </row>
    <row r="313" spans="1:4" x14ac:dyDescent="0.35">
      <c r="A313" s="2">
        <v>44280</v>
      </c>
      <c r="B313">
        <v>118.095741271972</v>
      </c>
      <c r="D313" s="4">
        <v>4.1635135954753988E-3</v>
      </c>
    </row>
    <row r="314" spans="1:4" x14ac:dyDescent="0.35">
      <c r="A314" s="2">
        <v>44281</v>
      </c>
      <c r="B314">
        <v>118.702926635742</v>
      </c>
      <c r="D314" s="4">
        <v>5.1414670607949908E-3</v>
      </c>
    </row>
    <row r="315" spans="1:4" x14ac:dyDescent="0.35">
      <c r="A315" s="2">
        <v>44284</v>
      </c>
      <c r="B315">
        <v>118.87920379638599</v>
      </c>
      <c r="D315" s="4">
        <v>1.4850279234051023E-3</v>
      </c>
    </row>
    <row r="316" spans="1:4" x14ac:dyDescent="0.35">
      <c r="A316" s="2">
        <v>44285</v>
      </c>
      <c r="B316">
        <v>117.42001342773401</v>
      </c>
      <c r="D316" s="4">
        <v>-1.2274563776110581E-2</v>
      </c>
    </row>
    <row r="317" spans="1:4" x14ac:dyDescent="0.35">
      <c r="A317" s="2">
        <v>44286</v>
      </c>
      <c r="B317">
        <v>119.623489379882</v>
      </c>
      <c r="D317" s="4">
        <v>1.8765761370859613E-2</v>
      </c>
    </row>
    <row r="318" spans="1:4" x14ac:dyDescent="0.35">
      <c r="A318" s="2">
        <v>44287</v>
      </c>
      <c r="B318">
        <v>120.45589447021401</v>
      </c>
      <c r="D318" s="4">
        <v>6.9585421278639537E-3</v>
      </c>
    </row>
    <row r="319" spans="1:4" x14ac:dyDescent="0.35">
      <c r="A319" s="2">
        <v>44291</v>
      </c>
      <c r="B319">
        <v>123.29590606689401</v>
      </c>
      <c r="D319" s="4">
        <v>2.3577190715081686E-2</v>
      </c>
    </row>
    <row r="320" spans="1:4" x14ac:dyDescent="0.35">
      <c r="A320" s="2">
        <v>44292</v>
      </c>
      <c r="B320">
        <v>123.59951019287099</v>
      </c>
      <c r="D320" s="4">
        <v>2.4624023267427742E-3</v>
      </c>
    </row>
    <row r="321" spans="1:4" x14ac:dyDescent="0.35">
      <c r="A321" s="2">
        <v>44293</v>
      </c>
      <c r="B321">
        <v>125.25453186035099</v>
      </c>
      <c r="D321" s="4">
        <v>1.3390196003992383E-2</v>
      </c>
    </row>
    <row r="322" spans="1:4" x14ac:dyDescent="0.35">
      <c r="A322" s="2">
        <v>44294</v>
      </c>
      <c r="B322">
        <v>127.663673400878</v>
      </c>
      <c r="D322" s="4">
        <v>1.9233967064864466E-2</v>
      </c>
    </row>
    <row r="323" spans="1:4" x14ac:dyDescent="0.35">
      <c r="A323" s="2">
        <v>44295</v>
      </c>
      <c r="B323">
        <v>130.24905395507801</v>
      </c>
      <c r="D323" s="4">
        <v>2.025149743327237E-2</v>
      </c>
    </row>
    <row r="324" spans="1:4" x14ac:dyDescent="0.35">
      <c r="A324" s="2">
        <v>44298</v>
      </c>
      <c r="B324">
        <v>128.52548217773401</v>
      </c>
      <c r="D324" s="4">
        <v>-1.3232892869521007E-2</v>
      </c>
    </row>
    <row r="325" spans="1:4" x14ac:dyDescent="0.35">
      <c r="A325" s="2">
        <v>44299</v>
      </c>
      <c r="B325">
        <v>131.649490356445</v>
      </c>
      <c r="D325" s="4">
        <v>2.430652759108809E-2</v>
      </c>
    </row>
    <row r="326" spans="1:4" x14ac:dyDescent="0.35">
      <c r="A326" s="2">
        <v>44300</v>
      </c>
      <c r="B326">
        <v>129.29913330078099</v>
      </c>
      <c r="D326" s="4">
        <v>-1.7853142076739825E-2</v>
      </c>
    </row>
    <row r="327" spans="1:4" x14ac:dyDescent="0.35">
      <c r="A327" s="2">
        <v>44301</v>
      </c>
      <c r="B327">
        <v>131.71804809570301</v>
      </c>
      <c r="D327" s="4">
        <v>1.8707896434967175E-2</v>
      </c>
    </row>
    <row r="328" spans="1:4" x14ac:dyDescent="0.35">
      <c r="A328" s="2">
        <v>44302</v>
      </c>
      <c r="B328">
        <v>131.38507080078099</v>
      </c>
      <c r="D328" s="4">
        <v>-2.5279549745536034E-3</v>
      </c>
    </row>
    <row r="329" spans="1:4" x14ac:dyDescent="0.35">
      <c r="A329" s="2">
        <v>44305</v>
      </c>
      <c r="B329">
        <v>132.05099487304599</v>
      </c>
      <c r="D329" s="4">
        <v>5.0684911779264041E-3</v>
      </c>
    </row>
    <row r="330" spans="1:4" x14ac:dyDescent="0.35">
      <c r="A330" s="2">
        <v>44306</v>
      </c>
      <c r="B330">
        <v>130.35678100585901</v>
      </c>
      <c r="D330" s="4">
        <v>-1.2829996993326764E-2</v>
      </c>
    </row>
    <row r="331" spans="1:4" x14ac:dyDescent="0.35">
      <c r="A331" s="2">
        <v>44307</v>
      </c>
      <c r="B331">
        <v>130.73872375488199</v>
      </c>
      <c r="D331" s="4">
        <v>2.9299799064983478E-3</v>
      </c>
    </row>
    <row r="332" spans="1:4" x14ac:dyDescent="0.35">
      <c r="A332" s="2">
        <v>44308</v>
      </c>
      <c r="B332">
        <v>129.21096801757801</v>
      </c>
      <c r="D332" s="4">
        <v>-1.16855641039324E-2</v>
      </c>
    </row>
    <row r="333" spans="1:4" x14ac:dyDescent="0.35">
      <c r="A333" s="2">
        <v>44309</v>
      </c>
      <c r="B333">
        <v>131.54177856445301</v>
      </c>
      <c r="D333" s="4">
        <v>1.8038797964565312E-2</v>
      </c>
    </row>
    <row r="334" spans="1:4" x14ac:dyDescent="0.35">
      <c r="A334" s="2">
        <v>44312</v>
      </c>
      <c r="B334">
        <v>131.93347167968699</v>
      </c>
      <c r="D334" s="4">
        <v>2.9777088276334851E-3</v>
      </c>
    </row>
    <row r="335" spans="1:4" x14ac:dyDescent="0.35">
      <c r="A335" s="2">
        <v>44313</v>
      </c>
      <c r="B335">
        <v>131.6103515625</v>
      </c>
      <c r="D335" s="4">
        <v>-2.4491140350757501E-3</v>
      </c>
    </row>
    <row r="336" spans="1:4" x14ac:dyDescent="0.35">
      <c r="A336" s="2">
        <v>44314</v>
      </c>
      <c r="B336">
        <v>130.81707763671801</v>
      </c>
      <c r="D336" s="4">
        <v>-6.0274432547600121E-3</v>
      </c>
    </row>
    <row r="337" spans="1:4" x14ac:dyDescent="0.35">
      <c r="A337" s="2">
        <v>44315</v>
      </c>
      <c r="B337">
        <v>130.71913146972599</v>
      </c>
      <c r="D337" s="4">
        <v>-7.4872615075549653E-4</v>
      </c>
    </row>
    <row r="338" spans="1:4" x14ac:dyDescent="0.35">
      <c r="A338" s="2">
        <v>44316</v>
      </c>
      <c r="B338">
        <v>128.74093627929599</v>
      </c>
      <c r="D338" s="4">
        <v>-1.5133172690090402E-2</v>
      </c>
    </row>
    <row r="339" spans="1:4" x14ac:dyDescent="0.35">
      <c r="A339" s="2">
        <v>44319</v>
      </c>
      <c r="B339">
        <v>129.798568725585</v>
      </c>
      <c r="D339" s="4">
        <v>8.2151992742582891E-3</v>
      </c>
    </row>
    <row r="340" spans="1:4" x14ac:dyDescent="0.35">
      <c r="A340" s="2">
        <v>44320</v>
      </c>
      <c r="B340">
        <v>125.20556640625</v>
      </c>
      <c r="D340" s="4">
        <v>-3.5385616069814607E-2</v>
      </c>
    </row>
    <row r="341" spans="1:4" x14ac:dyDescent="0.35">
      <c r="A341" s="2">
        <v>44321</v>
      </c>
      <c r="B341">
        <v>125.45040893554599</v>
      </c>
      <c r="D341" s="4">
        <v>1.9555243135243039E-3</v>
      </c>
    </row>
    <row r="342" spans="1:4" x14ac:dyDescent="0.35">
      <c r="A342" s="2">
        <v>44322</v>
      </c>
      <c r="B342">
        <v>127.05648803710901</v>
      </c>
      <c r="D342" s="4">
        <v>1.2802501922398513E-2</v>
      </c>
    </row>
    <row r="343" spans="1:4" x14ac:dyDescent="0.35">
      <c r="A343" s="2">
        <v>44323</v>
      </c>
      <c r="B343">
        <v>127.733360290527</v>
      </c>
      <c r="D343" s="4">
        <v>5.3273332505483495E-3</v>
      </c>
    </row>
    <row r="344" spans="1:4" x14ac:dyDescent="0.35">
      <c r="A344" s="2">
        <v>44326</v>
      </c>
      <c r="B344">
        <v>124.43726348876901</v>
      </c>
      <c r="D344" s="4">
        <v>-2.5804510225528321E-2</v>
      </c>
    </row>
    <row r="345" spans="1:4" x14ac:dyDescent="0.35">
      <c r="A345" s="2">
        <v>44327</v>
      </c>
      <c r="B345">
        <v>123.51514434814401</v>
      </c>
      <c r="D345" s="4">
        <v>-7.410313556985515E-3</v>
      </c>
    </row>
    <row r="346" spans="1:4" x14ac:dyDescent="0.35">
      <c r="A346" s="2">
        <v>44328</v>
      </c>
      <c r="B346">
        <v>120.43487548828099</v>
      </c>
      <c r="D346" s="4">
        <v>-2.4938390155468393E-2</v>
      </c>
    </row>
    <row r="347" spans="1:4" x14ac:dyDescent="0.35">
      <c r="A347" s="2">
        <v>44329</v>
      </c>
      <c r="B347">
        <v>122.59303283691401</v>
      </c>
      <c r="D347" s="4">
        <v>1.791970423752387E-2</v>
      </c>
    </row>
    <row r="348" spans="1:4" x14ac:dyDescent="0.35">
      <c r="A348" s="2">
        <v>44330</v>
      </c>
      <c r="B348">
        <v>125.025840759277</v>
      </c>
      <c r="D348" s="4">
        <v>1.984458550429502E-2</v>
      </c>
    </row>
    <row r="349" spans="1:4" x14ac:dyDescent="0.35">
      <c r="A349" s="2">
        <v>44333</v>
      </c>
      <c r="B349">
        <v>123.868293762207</v>
      </c>
      <c r="D349" s="4">
        <v>-9.2584620110551796E-3</v>
      </c>
    </row>
    <row r="350" spans="1:4" x14ac:dyDescent="0.35">
      <c r="A350" s="2">
        <v>44334</v>
      </c>
      <c r="B350">
        <v>122.47531127929599</v>
      </c>
      <c r="D350" s="4">
        <v>-1.1245674260962679E-2</v>
      </c>
    </row>
    <row r="351" spans="1:4" x14ac:dyDescent="0.35">
      <c r="A351" s="2">
        <v>44335</v>
      </c>
      <c r="B351">
        <v>122.318359375</v>
      </c>
      <c r="D351" s="4">
        <v>-1.2814983089781684E-3</v>
      </c>
    </row>
    <row r="352" spans="1:4" x14ac:dyDescent="0.35">
      <c r="A352" s="2">
        <v>44336</v>
      </c>
      <c r="B352">
        <v>124.888526916503</v>
      </c>
      <c r="D352" s="4">
        <v>2.101211588052343E-2</v>
      </c>
    </row>
    <row r="353" spans="1:4" x14ac:dyDescent="0.35">
      <c r="A353" s="2">
        <v>44337</v>
      </c>
      <c r="B353">
        <v>123.04427337646401</v>
      </c>
      <c r="D353" s="4">
        <v>-1.4767197480614169E-2</v>
      </c>
    </row>
    <row r="354" spans="1:4" x14ac:dyDescent="0.35">
      <c r="A354" s="2">
        <v>44340</v>
      </c>
      <c r="B354">
        <v>124.68251800537099</v>
      </c>
      <c r="D354" s="4">
        <v>1.3314269603548645E-2</v>
      </c>
    </row>
    <row r="355" spans="1:4" x14ac:dyDescent="0.35">
      <c r="A355" s="2">
        <v>44341</v>
      </c>
      <c r="B355">
        <v>124.48631286621</v>
      </c>
      <c r="D355" s="4">
        <v>-1.573637926950977E-3</v>
      </c>
    </row>
    <row r="356" spans="1:4" x14ac:dyDescent="0.35">
      <c r="A356" s="2">
        <v>44342</v>
      </c>
      <c r="B356">
        <v>124.43726348876901</v>
      </c>
      <c r="D356" s="4">
        <v>-3.940142198098906E-4</v>
      </c>
    </row>
    <row r="357" spans="1:4" x14ac:dyDescent="0.35">
      <c r="A357" s="2">
        <v>44343</v>
      </c>
      <c r="B357">
        <v>122.897132873535</v>
      </c>
      <c r="D357" s="4">
        <v>-1.2376763776816846E-2</v>
      </c>
    </row>
    <row r="358" spans="1:4" x14ac:dyDescent="0.35">
      <c r="A358" s="2">
        <v>44344</v>
      </c>
      <c r="B358">
        <v>122.239875793457</v>
      </c>
      <c r="D358" s="4">
        <v>-5.3480261476428481E-3</v>
      </c>
    </row>
    <row r="359" spans="1:4" x14ac:dyDescent="0.35">
      <c r="A359" s="2">
        <v>44348</v>
      </c>
      <c r="B359">
        <v>121.91615295410099</v>
      </c>
      <c r="D359" s="4">
        <v>-2.6482589028721248E-3</v>
      </c>
    </row>
    <row r="360" spans="1:4" x14ac:dyDescent="0.35">
      <c r="A360" s="2">
        <v>44349</v>
      </c>
      <c r="B360">
        <v>122.681312561035</v>
      </c>
      <c r="D360" s="4">
        <v>6.276113446772591E-3</v>
      </c>
    </row>
    <row r="361" spans="1:4" x14ac:dyDescent="0.35">
      <c r="A361" s="2">
        <v>44350</v>
      </c>
      <c r="B361">
        <v>121.190216064453</v>
      </c>
      <c r="D361" s="4">
        <v>-1.215422679668654E-2</v>
      </c>
    </row>
    <row r="362" spans="1:4" x14ac:dyDescent="0.35">
      <c r="A362" s="2">
        <v>44351</v>
      </c>
      <c r="B362">
        <v>123.49552154541</v>
      </c>
      <c r="D362" s="4">
        <v>1.9022207863141016E-2</v>
      </c>
    </row>
    <row r="363" spans="1:4" x14ac:dyDescent="0.35">
      <c r="A363" s="2">
        <v>44354</v>
      </c>
      <c r="B363">
        <v>123.505332946777</v>
      </c>
      <c r="D363" s="4">
        <v>7.944742646714964E-5</v>
      </c>
    </row>
    <row r="364" spans="1:4" x14ac:dyDescent="0.35">
      <c r="A364" s="2">
        <v>44355</v>
      </c>
      <c r="B364">
        <v>124.32935333251901</v>
      </c>
      <c r="D364" s="4">
        <v>6.6719417379095258E-3</v>
      </c>
    </row>
    <row r="365" spans="1:4" x14ac:dyDescent="0.35">
      <c r="A365" s="2">
        <v>44356</v>
      </c>
      <c r="B365">
        <v>124.711952209472</v>
      </c>
      <c r="D365" s="4">
        <v>3.0773012703584346E-3</v>
      </c>
    </row>
    <row r="366" spans="1:4" x14ac:dyDescent="0.35">
      <c r="A366" s="2">
        <v>44357</v>
      </c>
      <c r="B366">
        <v>123.711334228515</v>
      </c>
      <c r="D366" s="4">
        <v>-8.0234329046210418E-3</v>
      </c>
    </row>
    <row r="367" spans="1:4" x14ac:dyDescent="0.35">
      <c r="A367" s="2">
        <v>44358</v>
      </c>
      <c r="B367">
        <v>124.927757263183</v>
      </c>
      <c r="D367" s="4">
        <v>9.8327533386801669E-3</v>
      </c>
    </row>
    <row r="368" spans="1:4" x14ac:dyDescent="0.35">
      <c r="A368" s="2">
        <v>44361</v>
      </c>
      <c r="B368">
        <v>127.99821472167901</v>
      </c>
      <c r="D368" s="4">
        <v>2.4577864245393766E-2</v>
      </c>
    </row>
    <row r="369" spans="1:4" x14ac:dyDescent="0.35">
      <c r="A369" s="2">
        <v>44362</v>
      </c>
      <c r="B369">
        <v>127.174194335937</v>
      </c>
      <c r="D369" s="4">
        <v>-6.4377490540298288E-3</v>
      </c>
    </row>
    <row r="370" spans="1:4" x14ac:dyDescent="0.35">
      <c r="A370" s="2">
        <v>44363</v>
      </c>
      <c r="B370">
        <v>127.67448425292901</v>
      </c>
      <c r="D370" s="4">
        <v>3.9338949195184547E-3</v>
      </c>
    </row>
    <row r="371" spans="1:4" x14ac:dyDescent="0.35">
      <c r="A371" s="2">
        <v>44364</v>
      </c>
      <c r="B371">
        <v>129.28329467773401</v>
      </c>
      <c r="D371" s="4">
        <v>1.260087662949072E-2</v>
      </c>
    </row>
    <row r="372" spans="1:4" x14ac:dyDescent="0.35">
      <c r="A372" s="2">
        <v>44365</v>
      </c>
      <c r="B372">
        <v>127.978637695312</v>
      </c>
      <c r="D372" s="4">
        <v>-1.0091458340956816E-2</v>
      </c>
    </row>
    <row r="373" spans="1:4" x14ac:dyDescent="0.35">
      <c r="A373" s="2">
        <v>44368</v>
      </c>
      <c r="B373">
        <v>129.78361511230401</v>
      </c>
      <c r="D373" s="4">
        <v>1.4103739885786615E-2</v>
      </c>
    </row>
    <row r="374" spans="1:4" x14ac:dyDescent="0.35">
      <c r="A374" s="2">
        <v>44369</v>
      </c>
      <c r="B374">
        <v>131.43167114257801</v>
      </c>
      <c r="D374" s="4">
        <v>1.2698490705840726E-2</v>
      </c>
    </row>
    <row r="375" spans="1:4" x14ac:dyDescent="0.35">
      <c r="A375" s="2">
        <v>44370</v>
      </c>
      <c r="B375">
        <v>131.156982421875</v>
      </c>
      <c r="D375" s="4">
        <v>-2.0899735833460609E-3</v>
      </c>
    </row>
    <row r="376" spans="1:4" x14ac:dyDescent="0.35">
      <c r="A376" s="2">
        <v>44371</v>
      </c>
      <c r="B376">
        <v>130.87252807617099</v>
      </c>
      <c r="D376" s="4">
        <v>-2.1688082513902085E-3</v>
      </c>
    </row>
    <row r="377" spans="1:4" x14ac:dyDescent="0.35">
      <c r="A377" s="2">
        <v>44372</v>
      </c>
      <c r="B377">
        <v>130.57817077636699</v>
      </c>
      <c r="D377" s="4">
        <v>-2.2491909045471159E-3</v>
      </c>
    </row>
    <row r="378" spans="1:4" x14ac:dyDescent="0.35">
      <c r="A378" s="2">
        <v>44375</v>
      </c>
      <c r="B378">
        <v>132.21643066406199</v>
      </c>
      <c r="D378" s="4">
        <v>1.2546200317821388E-2</v>
      </c>
    </row>
    <row r="379" spans="1:4" x14ac:dyDescent="0.35">
      <c r="A379" s="2">
        <v>44376</v>
      </c>
      <c r="B379">
        <v>133.73696899414</v>
      </c>
      <c r="D379" s="4">
        <v>1.1500373459191415E-2</v>
      </c>
    </row>
    <row r="380" spans="1:4" x14ac:dyDescent="0.35">
      <c r="A380" s="2">
        <v>44377</v>
      </c>
      <c r="B380">
        <v>134.35496520996</v>
      </c>
      <c r="D380" s="4">
        <v>4.6209826682035438E-3</v>
      </c>
    </row>
    <row r="381" spans="1:4" x14ac:dyDescent="0.35">
      <c r="A381" s="2">
        <v>44378</v>
      </c>
      <c r="B381">
        <v>134.65911865234301</v>
      </c>
      <c r="D381" s="4">
        <v>2.2638050027232737E-3</v>
      </c>
    </row>
    <row r="382" spans="1:4" x14ac:dyDescent="0.35">
      <c r="A382" s="2">
        <v>44379</v>
      </c>
      <c r="B382">
        <v>137.29794311523401</v>
      </c>
      <c r="D382" s="4">
        <v>1.9596329526734735E-2</v>
      </c>
    </row>
    <row r="383" spans="1:4" x14ac:dyDescent="0.35">
      <c r="A383" s="2">
        <v>44383</v>
      </c>
      <c r="B383">
        <v>139.31872558593699</v>
      </c>
      <c r="D383" s="4">
        <v>1.4718228291351387E-2</v>
      </c>
    </row>
    <row r="384" spans="1:4" x14ac:dyDescent="0.35">
      <c r="A384" s="2">
        <v>44384</v>
      </c>
      <c r="B384">
        <v>141.820220947265</v>
      </c>
      <c r="D384" s="4">
        <v>1.7955198418643237E-2</v>
      </c>
    </row>
    <row r="385" spans="1:4" x14ac:dyDescent="0.35">
      <c r="A385" s="2">
        <v>44385</v>
      </c>
      <c r="B385">
        <v>140.51554870605401</v>
      </c>
      <c r="D385" s="4">
        <v>-9.1994796827747916E-3</v>
      </c>
    </row>
    <row r="386" spans="1:4" x14ac:dyDescent="0.35">
      <c r="A386" s="2">
        <v>44386</v>
      </c>
      <c r="B386">
        <v>142.34996032714801</v>
      </c>
      <c r="D386" s="4">
        <v>1.3054865728286291E-2</v>
      </c>
    </row>
    <row r="387" spans="1:4" x14ac:dyDescent="0.35">
      <c r="A387" s="2">
        <v>44389</v>
      </c>
      <c r="B387">
        <v>141.75155639648401</v>
      </c>
      <c r="D387" s="4">
        <v>-4.2037520016777741E-3</v>
      </c>
    </row>
    <row r="388" spans="1:4" x14ac:dyDescent="0.35">
      <c r="A388" s="2">
        <v>44390</v>
      </c>
      <c r="B388">
        <v>142.86990356445301</v>
      </c>
      <c r="D388" s="4">
        <v>7.8894877516615391E-3</v>
      </c>
    </row>
    <row r="389" spans="1:4" x14ac:dyDescent="0.35">
      <c r="A389" s="2">
        <v>44391</v>
      </c>
      <c r="B389">
        <v>146.31309509277301</v>
      </c>
      <c r="D389" s="4">
        <v>2.4100187950128138E-2</v>
      </c>
    </row>
    <row r="390" spans="1:4" x14ac:dyDescent="0.35">
      <c r="A390" s="2">
        <v>44392</v>
      </c>
      <c r="B390">
        <v>145.65586853027301</v>
      </c>
      <c r="D390" s="4">
        <v>-4.4919189364648338E-3</v>
      </c>
    </row>
    <row r="391" spans="1:4" x14ac:dyDescent="0.35">
      <c r="A391" s="2">
        <v>44393</v>
      </c>
      <c r="B391">
        <v>143.60560607910099</v>
      </c>
      <c r="D391" s="4">
        <v>-1.4076071715201088E-2</v>
      </c>
    </row>
    <row r="392" spans="1:4" x14ac:dyDescent="0.35">
      <c r="A392" s="2">
        <v>44396</v>
      </c>
      <c r="B392">
        <v>139.74055480957</v>
      </c>
      <c r="D392" s="4">
        <v>-2.691434808890425E-2</v>
      </c>
    </row>
    <row r="393" spans="1:4" x14ac:dyDescent="0.35">
      <c r="A393" s="2">
        <v>44397</v>
      </c>
      <c r="B393">
        <v>143.370193481445</v>
      </c>
      <c r="D393" s="4">
        <v>2.5974125241031487E-2</v>
      </c>
    </row>
    <row r="394" spans="1:4" x14ac:dyDescent="0.35">
      <c r="A394" s="2">
        <v>44398</v>
      </c>
      <c r="B394">
        <v>142.63446044921801</v>
      </c>
      <c r="D394" s="4">
        <v>-5.1317014670989591E-3</v>
      </c>
    </row>
    <row r="395" spans="1:4" x14ac:dyDescent="0.35">
      <c r="A395" s="2">
        <v>44399</v>
      </c>
      <c r="B395">
        <v>144.00782775878901</v>
      </c>
      <c r="D395" s="4">
        <v>9.6285799746125278E-3</v>
      </c>
    </row>
    <row r="396" spans="1:4" x14ac:dyDescent="0.35">
      <c r="A396" s="2">
        <v>44400</v>
      </c>
      <c r="B396">
        <v>145.73432922363199</v>
      </c>
      <c r="D396" s="4">
        <v>1.1988941793739549E-2</v>
      </c>
    </row>
    <row r="397" spans="1:4" x14ac:dyDescent="0.35">
      <c r="A397" s="2">
        <v>44403</v>
      </c>
      <c r="B397">
        <v>146.15614318847599</v>
      </c>
      <c r="D397" s="4">
        <v>2.894403584187355E-3</v>
      </c>
    </row>
    <row r="398" spans="1:4" x14ac:dyDescent="0.35">
      <c r="A398" s="2">
        <v>44404</v>
      </c>
      <c r="B398">
        <v>143.97837829589801</v>
      </c>
      <c r="D398" s="4">
        <v>-1.4900262452667734E-2</v>
      </c>
    </row>
    <row r="399" spans="1:4" x14ac:dyDescent="0.35">
      <c r="A399" s="2">
        <v>44405</v>
      </c>
      <c r="B399">
        <v>142.22242736816401</v>
      </c>
      <c r="D399" s="4">
        <v>-1.219593489326054E-2</v>
      </c>
    </row>
    <row r="400" spans="1:4" x14ac:dyDescent="0.35">
      <c r="A400" s="2">
        <v>44406</v>
      </c>
      <c r="B400">
        <v>142.86990356445301</v>
      </c>
      <c r="D400" s="4">
        <v>4.5525604383964691E-3</v>
      </c>
    </row>
    <row r="401" spans="1:4" x14ac:dyDescent="0.35">
      <c r="A401" s="2">
        <v>44407</v>
      </c>
      <c r="B401">
        <v>143.085693359375</v>
      </c>
      <c r="D401" s="4">
        <v>1.5103936486149383E-3</v>
      </c>
    </row>
    <row r="402" spans="1:4" x14ac:dyDescent="0.35">
      <c r="A402" s="2">
        <v>44410</v>
      </c>
      <c r="B402">
        <v>142.75215148925699</v>
      </c>
      <c r="D402" s="4">
        <v>-2.3310637303219917E-3</v>
      </c>
    </row>
    <row r="403" spans="1:4" x14ac:dyDescent="0.35">
      <c r="A403" s="2">
        <v>44411</v>
      </c>
      <c r="B403">
        <v>144.55714416503901</v>
      </c>
      <c r="D403" s="4">
        <v>1.2644241483939167E-2</v>
      </c>
    </row>
    <row r="404" spans="1:4" x14ac:dyDescent="0.35">
      <c r="A404" s="2">
        <v>44412</v>
      </c>
      <c r="B404">
        <v>144.15493774414</v>
      </c>
      <c r="D404" s="4">
        <v>-2.7823351327403989E-3</v>
      </c>
    </row>
    <row r="405" spans="1:4" x14ac:dyDescent="0.35">
      <c r="A405" s="2">
        <v>44413</v>
      </c>
      <c r="B405">
        <v>144.26286315917901</v>
      </c>
      <c r="D405" s="4">
        <v>7.4867650548715581E-4</v>
      </c>
    </row>
    <row r="406" spans="1:4" x14ac:dyDescent="0.35">
      <c r="A406" s="2">
        <v>44414</v>
      </c>
      <c r="B406">
        <v>143.57514953613199</v>
      </c>
      <c r="D406" s="4">
        <v>-4.7670870242482177E-3</v>
      </c>
    </row>
    <row r="407" spans="1:4" x14ac:dyDescent="0.35">
      <c r="A407" s="2">
        <v>44417</v>
      </c>
      <c r="B407">
        <v>143.52601623535099</v>
      </c>
      <c r="D407" s="4">
        <v>-3.4221312629478806E-4</v>
      </c>
    </row>
    <row r="408" spans="1:4" x14ac:dyDescent="0.35">
      <c r="A408" s="2">
        <v>44418</v>
      </c>
      <c r="B408">
        <v>143.04464721679599</v>
      </c>
      <c r="D408" s="4">
        <v>-3.3538798831123096E-3</v>
      </c>
    </row>
    <row r="409" spans="1:4" x14ac:dyDescent="0.35">
      <c r="A409" s="2">
        <v>44419</v>
      </c>
      <c r="B409">
        <v>143.30006408691401</v>
      </c>
      <c r="D409" s="4">
        <v>1.7855744698429543E-3</v>
      </c>
    </row>
    <row r="410" spans="1:4" x14ac:dyDescent="0.35">
      <c r="A410" s="2">
        <v>44420</v>
      </c>
      <c r="B410">
        <v>146.27691650390599</v>
      </c>
      <c r="D410" s="4">
        <v>2.0773559565098854E-2</v>
      </c>
    </row>
    <row r="411" spans="1:4" x14ac:dyDescent="0.35">
      <c r="A411" s="2">
        <v>44421</v>
      </c>
      <c r="B411">
        <v>146.48320007324199</v>
      </c>
      <c r="D411" s="4">
        <v>1.410226399805703E-3</v>
      </c>
    </row>
    <row r="412" spans="1:4" x14ac:dyDescent="0.35">
      <c r="A412" s="2">
        <v>44424</v>
      </c>
      <c r="B412">
        <v>148.46775817871</v>
      </c>
      <c r="D412" s="4">
        <v>1.3548025333114833E-2</v>
      </c>
    </row>
    <row r="413" spans="1:4" x14ac:dyDescent="0.35">
      <c r="A413" s="2">
        <v>44425</v>
      </c>
      <c r="B413">
        <v>147.55407714843699</v>
      </c>
      <c r="D413" s="4">
        <v>-6.1540703616822512E-3</v>
      </c>
    </row>
    <row r="414" spans="1:4" x14ac:dyDescent="0.35">
      <c r="A414" s="2">
        <v>44426</v>
      </c>
      <c r="B414">
        <v>143.79130554199199</v>
      </c>
      <c r="D414" s="4">
        <v>-2.5500966690738869E-2</v>
      </c>
    </row>
    <row r="415" spans="1:4" x14ac:dyDescent="0.35">
      <c r="A415" s="2">
        <v>44427</v>
      </c>
      <c r="B415">
        <v>144.12532043457</v>
      </c>
      <c r="D415" s="4">
        <v>2.3229143884535564E-3</v>
      </c>
    </row>
    <row r="416" spans="1:4" x14ac:dyDescent="0.35">
      <c r="A416" s="2">
        <v>44428</v>
      </c>
      <c r="B416">
        <v>145.58918762207</v>
      </c>
      <c r="D416" s="4">
        <v>1.0156904998275929E-2</v>
      </c>
    </row>
    <row r="417" spans="1:4" x14ac:dyDescent="0.35">
      <c r="A417" s="2">
        <v>44431</v>
      </c>
      <c r="B417">
        <v>147.08250427246</v>
      </c>
      <c r="D417" s="4">
        <v>1.0257057373425527E-2</v>
      </c>
    </row>
    <row r="418" spans="1:4" x14ac:dyDescent="0.35">
      <c r="A418" s="2">
        <v>44432</v>
      </c>
      <c r="B418">
        <v>146.99406433105401</v>
      </c>
      <c r="D418" s="4">
        <v>-6.0129477563264366E-4</v>
      </c>
    </row>
    <row r="419" spans="1:4" x14ac:dyDescent="0.35">
      <c r="A419" s="2">
        <v>44433</v>
      </c>
      <c r="B419">
        <v>145.75616455078099</v>
      </c>
      <c r="D419" s="4">
        <v>-8.4214269869092861E-3</v>
      </c>
    </row>
    <row r="420" spans="1:4" x14ac:dyDescent="0.35">
      <c r="A420" s="2">
        <v>44434</v>
      </c>
      <c r="B420">
        <v>144.95057678222599</v>
      </c>
      <c r="D420" s="4">
        <v>-5.5269550419209112E-3</v>
      </c>
    </row>
    <row r="421" spans="1:4" x14ac:dyDescent="0.35">
      <c r="A421" s="2">
        <v>44435</v>
      </c>
      <c r="B421">
        <v>145.99198913574199</v>
      </c>
      <c r="D421" s="4">
        <v>7.1846030325262156E-3</v>
      </c>
    </row>
    <row r="422" spans="1:4" x14ac:dyDescent="0.35">
      <c r="A422" s="2">
        <v>44438</v>
      </c>
      <c r="B422">
        <v>150.43264770507801</v>
      </c>
      <c r="D422" s="4">
        <v>3.0417138608935135E-2</v>
      </c>
    </row>
    <row r="423" spans="1:4" x14ac:dyDescent="0.35">
      <c r="A423" s="2">
        <v>44439</v>
      </c>
      <c r="B423">
        <v>149.16531372070301</v>
      </c>
      <c r="D423" s="4">
        <v>-8.4245940207048342E-3</v>
      </c>
    </row>
    <row r="424" spans="1:4" x14ac:dyDescent="0.35">
      <c r="A424" s="2">
        <v>44440</v>
      </c>
      <c r="B424">
        <v>149.83334350585901</v>
      </c>
      <c r="D424" s="4">
        <v>4.4784525872201275E-3</v>
      </c>
    </row>
    <row r="425" spans="1:4" x14ac:dyDescent="0.35">
      <c r="A425" s="2">
        <v>44441</v>
      </c>
      <c r="B425">
        <v>150.95333862304599</v>
      </c>
      <c r="D425" s="4">
        <v>7.474939095537092E-3</v>
      </c>
    </row>
    <row r="426" spans="1:4" x14ac:dyDescent="0.35">
      <c r="A426" s="2">
        <v>44442</v>
      </c>
      <c r="B426">
        <v>151.59193420410099</v>
      </c>
      <c r="D426" s="4">
        <v>4.2304170737799129E-3</v>
      </c>
    </row>
    <row r="427" spans="1:4" x14ac:dyDescent="0.35">
      <c r="A427" s="2">
        <v>44446</v>
      </c>
      <c r="B427">
        <v>153.94003295898401</v>
      </c>
      <c r="D427" s="4">
        <v>1.5489602182406248E-2</v>
      </c>
    </row>
    <row r="428" spans="1:4" x14ac:dyDescent="0.35">
      <c r="A428" s="2">
        <v>44447</v>
      </c>
      <c r="B428">
        <v>152.38771057128901</v>
      </c>
      <c r="D428" s="4">
        <v>-1.0083942154985759E-2</v>
      </c>
    </row>
    <row r="429" spans="1:4" x14ac:dyDescent="0.35">
      <c r="A429" s="2">
        <v>44448</v>
      </c>
      <c r="B429">
        <v>151.36598205566401</v>
      </c>
      <c r="D429" s="4">
        <v>-6.7047960219011049E-3</v>
      </c>
    </row>
    <row r="430" spans="1:4" x14ac:dyDescent="0.35">
      <c r="A430" s="2">
        <v>44449</v>
      </c>
      <c r="B430">
        <v>146.35551452636699</v>
      </c>
      <c r="D430" s="4">
        <v>-3.3101674902452305E-2</v>
      </c>
    </row>
    <row r="431" spans="1:4" x14ac:dyDescent="0.35">
      <c r="A431" s="2">
        <v>44452</v>
      </c>
      <c r="B431">
        <v>146.92529296875</v>
      </c>
      <c r="D431" s="4">
        <v>3.8931122221592673E-3</v>
      </c>
    </row>
    <row r="432" spans="1:4" x14ac:dyDescent="0.35">
      <c r="A432" s="2">
        <v>44453</v>
      </c>
      <c r="B432">
        <v>145.52040100097599</v>
      </c>
      <c r="D432" s="4">
        <v>-9.5619477040812528E-3</v>
      </c>
    </row>
    <row r="433" spans="1:4" x14ac:dyDescent="0.35">
      <c r="A433" s="2">
        <v>44454</v>
      </c>
      <c r="B433">
        <v>146.41441345214801</v>
      </c>
      <c r="D433" s="4">
        <v>6.1435540654264376E-3</v>
      </c>
    </row>
    <row r="434" spans="1:4" x14ac:dyDescent="0.35">
      <c r="A434" s="2">
        <v>44455</v>
      </c>
      <c r="B434">
        <v>146.17864990234301</v>
      </c>
      <c r="D434" s="4">
        <v>-1.6102482279318764E-3</v>
      </c>
    </row>
    <row r="435" spans="1:4" x14ac:dyDescent="0.35">
      <c r="A435" s="2">
        <v>44456</v>
      </c>
      <c r="B435">
        <v>143.49655151367099</v>
      </c>
      <c r="D435" s="4">
        <v>-1.8348085650427337E-2</v>
      </c>
    </row>
    <row r="436" spans="1:4" x14ac:dyDescent="0.35">
      <c r="A436" s="2">
        <v>44459</v>
      </c>
      <c r="B436">
        <v>140.43132019042901</v>
      </c>
      <c r="D436" s="4">
        <v>-2.1361010358147636E-2</v>
      </c>
    </row>
    <row r="437" spans="1:4" x14ac:dyDescent="0.35">
      <c r="A437" s="2">
        <v>44460</v>
      </c>
      <c r="B437">
        <v>140.91270446777301</v>
      </c>
      <c r="D437" s="4">
        <v>3.4278982544011516E-3</v>
      </c>
    </row>
    <row r="438" spans="1:4" x14ac:dyDescent="0.35">
      <c r="A438" s="2">
        <v>44461</v>
      </c>
      <c r="B438">
        <v>143.29025268554599</v>
      </c>
      <c r="D438" s="4">
        <v>1.6872490147378683E-2</v>
      </c>
    </row>
    <row r="439" spans="1:4" x14ac:dyDescent="0.35">
      <c r="A439" s="2">
        <v>44462</v>
      </c>
      <c r="B439">
        <v>144.25306701660099</v>
      </c>
      <c r="D439" s="4">
        <v>6.7193288657807493E-3</v>
      </c>
    </row>
    <row r="440" spans="1:4" x14ac:dyDescent="0.35">
      <c r="A440" s="2">
        <v>44463</v>
      </c>
      <c r="B440">
        <v>144.34149169921801</v>
      </c>
      <c r="D440" s="4">
        <v>6.1298303353818362E-4</v>
      </c>
    </row>
    <row r="441" spans="1:4" x14ac:dyDescent="0.35">
      <c r="A441" s="2">
        <v>44466</v>
      </c>
      <c r="B441">
        <v>142.81866455078099</v>
      </c>
      <c r="D441" s="4">
        <v>-1.0550169119841968E-2</v>
      </c>
    </row>
    <row r="442" spans="1:4" x14ac:dyDescent="0.35">
      <c r="A442" s="2">
        <v>44467</v>
      </c>
      <c r="B442">
        <v>139.41940307617099</v>
      </c>
      <c r="D442" s="4">
        <v>-2.3801241142409335E-2</v>
      </c>
    </row>
    <row r="443" spans="1:4" x14ac:dyDescent="0.35">
      <c r="A443" s="2">
        <v>44468</v>
      </c>
      <c r="B443">
        <v>140.32325744628901</v>
      </c>
      <c r="D443" s="4">
        <v>6.4829883802055566E-3</v>
      </c>
    </row>
    <row r="444" spans="1:4" x14ac:dyDescent="0.35">
      <c r="A444" s="2">
        <v>44469</v>
      </c>
      <c r="B444">
        <v>139.01663208007801</v>
      </c>
      <c r="D444" s="4">
        <v>-9.3115381583207535E-3</v>
      </c>
    </row>
    <row r="445" spans="1:4" x14ac:dyDescent="0.35">
      <c r="A445" s="2">
        <v>44470</v>
      </c>
      <c r="B445">
        <v>140.14643859863199</v>
      </c>
      <c r="D445" s="4">
        <v>8.1271319959985711E-3</v>
      </c>
    </row>
    <row r="446" spans="1:4" x14ac:dyDescent="0.35">
      <c r="A446" s="2">
        <v>44473</v>
      </c>
      <c r="B446">
        <v>136.69801330566401</v>
      </c>
      <c r="D446" s="4">
        <v>-2.4605871739944774E-2</v>
      </c>
    </row>
    <row r="447" spans="1:4" x14ac:dyDescent="0.35">
      <c r="A447" s="2">
        <v>44474</v>
      </c>
      <c r="B447">
        <v>138.63343811035099</v>
      </c>
      <c r="D447" s="4">
        <v>1.4158397462289862E-2</v>
      </c>
    </row>
    <row r="448" spans="1:4" x14ac:dyDescent="0.35">
      <c r="A448" s="2">
        <v>44475</v>
      </c>
      <c r="B448">
        <v>139.5078125</v>
      </c>
      <c r="D448" s="4">
        <v>6.3070959038973307E-3</v>
      </c>
    </row>
    <row r="449" spans="1:4" x14ac:dyDescent="0.35">
      <c r="A449" s="2">
        <v>44476</v>
      </c>
      <c r="B449">
        <v>140.77517700195301</v>
      </c>
      <c r="D449" s="4">
        <v>9.084541426330528E-3</v>
      </c>
    </row>
    <row r="450" spans="1:4" x14ac:dyDescent="0.35">
      <c r="A450" s="2">
        <v>44477</v>
      </c>
      <c r="B450">
        <v>140.39201354980401</v>
      </c>
      <c r="D450" s="4">
        <v>-2.7218111907875153E-3</v>
      </c>
    </row>
    <row r="451" spans="1:4" x14ac:dyDescent="0.35">
      <c r="A451" s="2">
        <v>44480</v>
      </c>
      <c r="B451">
        <v>140.303619384765</v>
      </c>
      <c r="D451" s="4">
        <v>-6.296238853191749E-4</v>
      </c>
    </row>
    <row r="452" spans="1:4" x14ac:dyDescent="0.35">
      <c r="A452" s="2">
        <v>44481</v>
      </c>
      <c r="B452">
        <v>139.02642822265599</v>
      </c>
      <c r="D452" s="4">
        <v>-9.1030521358573813E-3</v>
      </c>
    </row>
    <row r="453" spans="1:4" x14ac:dyDescent="0.35">
      <c r="A453" s="2">
        <v>44482</v>
      </c>
      <c r="B453">
        <v>138.43693542480401</v>
      </c>
      <c r="D453" s="4">
        <v>-4.2401491960067927E-3</v>
      </c>
    </row>
    <row r="454" spans="1:4" x14ac:dyDescent="0.35">
      <c r="A454" s="2">
        <v>44483</v>
      </c>
      <c r="B454">
        <v>141.23693847656199</v>
      </c>
      <c r="D454" s="4">
        <v>2.022583816353607E-2</v>
      </c>
    </row>
    <row r="455" spans="1:4" x14ac:dyDescent="0.35">
      <c r="A455" s="2">
        <v>44484</v>
      </c>
      <c r="B455">
        <v>142.29795837402301</v>
      </c>
      <c r="D455" s="4">
        <v>7.5123399650658396E-3</v>
      </c>
    </row>
    <row r="456" spans="1:4" x14ac:dyDescent="0.35">
      <c r="A456" s="2">
        <v>44487</v>
      </c>
      <c r="B456">
        <v>143.97795104980401</v>
      </c>
      <c r="D456" s="4">
        <v>1.1806161486626721E-2</v>
      </c>
    </row>
    <row r="457" spans="1:4" x14ac:dyDescent="0.35">
      <c r="A457" s="2">
        <v>44488</v>
      </c>
      <c r="B457">
        <v>146.149169921875</v>
      </c>
      <c r="D457" s="4">
        <v>1.5080217882250224E-2</v>
      </c>
    </row>
    <row r="458" spans="1:4" x14ac:dyDescent="0.35">
      <c r="A458" s="2">
        <v>44489</v>
      </c>
      <c r="B458">
        <v>146.64041137695301</v>
      </c>
      <c r="D458" s="4">
        <v>3.3612332888417473E-3</v>
      </c>
    </row>
    <row r="459" spans="1:4" x14ac:dyDescent="0.35">
      <c r="A459" s="2">
        <v>44490</v>
      </c>
      <c r="B459">
        <v>146.85655212402301</v>
      </c>
      <c r="D459" s="4">
        <v>1.4739507686893916E-3</v>
      </c>
    </row>
    <row r="460" spans="1:4" x14ac:dyDescent="0.35">
      <c r="A460" s="2">
        <v>44491</v>
      </c>
      <c r="B460">
        <v>146.08041381835901</v>
      </c>
      <c r="D460" s="4">
        <v>-5.2850097216536884E-3</v>
      </c>
    </row>
    <row r="461" spans="1:4" x14ac:dyDescent="0.35">
      <c r="A461" s="2">
        <v>44494</v>
      </c>
      <c r="B461">
        <v>146.03123474121</v>
      </c>
      <c r="D461" s="4">
        <v>-3.3665757005696406E-4</v>
      </c>
    </row>
    <row r="462" spans="1:4" x14ac:dyDescent="0.35">
      <c r="A462" s="2">
        <v>44495</v>
      </c>
      <c r="B462">
        <v>146.69937133789</v>
      </c>
      <c r="D462" s="4">
        <v>4.575299235564545E-3</v>
      </c>
    </row>
    <row r="463" spans="1:4" x14ac:dyDescent="0.35">
      <c r="A463" s="2">
        <v>44496</v>
      </c>
      <c r="B463">
        <v>146.23759460449199</v>
      </c>
      <c r="D463" s="4">
        <v>-3.1477758165330272E-3</v>
      </c>
    </row>
    <row r="464" spans="1:4" x14ac:dyDescent="0.35">
      <c r="A464" s="2">
        <v>44497</v>
      </c>
      <c r="B464">
        <v>149.892318725585</v>
      </c>
      <c r="D464" s="4">
        <v>2.4991686515204448E-2</v>
      </c>
    </row>
    <row r="465" spans="1:4" x14ac:dyDescent="0.35">
      <c r="A465" s="2">
        <v>44498</v>
      </c>
      <c r="B465">
        <v>147.17091369628901</v>
      </c>
      <c r="D465" s="4">
        <v>-1.8155733745624403E-2</v>
      </c>
    </row>
    <row r="466" spans="1:4" x14ac:dyDescent="0.35">
      <c r="A466" s="2">
        <v>44501</v>
      </c>
      <c r="B466">
        <v>146.34565734863199</v>
      </c>
      <c r="D466" s="4">
        <v>-5.6074690774841063E-3</v>
      </c>
    </row>
    <row r="467" spans="1:4" x14ac:dyDescent="0.35">
      <c r="A467" s="2">
        <v>44502</v>
      </c>
      <c r="B467">
        <v>147.38705444335901</v>
      </c>
      <c r="D467" s="4">
        <v>7.1160095461264561E-3</v>
      </c>
    </row>
    <row r="468" spans="1:4" x14ac:dyDescent="0.35">
      <c r="A468" s="2">
        <v>44503</v>
      </c>
      <c r="B468">
        <v>148.831283569335</v>
      </c>
      <c r="D468" s="4">
        <v>9.7988872321959075E-3</v>
      </c>
    </row>
    <row r="469" spans="1:4" x14ac:dyDescent="0.35">
      <c r="A469" s="2">
        <v>44504</v>
      </c>
      <c r="B469">
        <v>148.31056213378901</v>
      </c>
      <c r="D469" s="4">
        <v>-3.4987364420827616E-3</v>
      </c>
    </row>
    <row r="470" spans="1:4" x14ac:dyDescent="0.35">
      <c r="A470" s="2">
        <v>44505</v>
      </c>
      <c r="B470">
        <v>148.84185791015599</v>
      </c>
      <c r="D470" s="4">
        <v>3.5823192139727844E-3</v>
      </c>
    </row>
    <row r="471" spans="1:4" x14ac:dyDescent="0.35">
      <c r="A471" s="2">
        <v>44508</v>
      </c>
      <c r="B471">
        <v>148.01539611816401</v>
      </c>
      <c r="D471" s="4">
        <v>-5.5526167409900573E-3</v>
      </c>
    </row>
    <row r="472" spans="1:4" x14ac:dyDescent="0.35">
      <c r="A472" s="2">
        <v>44509</v>
      </c>
      <c r="B472">
        <v>148.37942504882801</v>
      </c>
      <c r="D472" s="4">
        <v>2.459399090979586E-3</v>
      </c>
    </row>
    <row r="473" spans="1:4" x14ac:dyDescent="0.35">
      <c r="A473" s="2">
        <v>44510</v>
      </c>
      <c r="B473">
        <v>145.53601074218699</v>
      </c>
      <c r="D473" s="4">
        <v>-1.9163130640958648E-2</v>
      </c>
    </row>
    <row r="474" spans="1:4" x14ac:dyDescent="0.35">
      <c r="A474" s="2">
        <v>44511</v>
      </c>
      <c r="B474">
        <v>145.48681640625</v>
      </c>
      <c r="D474" s="4">
        <v>-3.3802174242725247E-4</v>
      </c>
    </row>
    <row r="475" spans="1:4" x14ac:dyDescent="0.35">
      <c r="A475" s="2">
        <v>44512</v>
      </c>
      <c r="B475">
        <v>147.572662353515</v>
      </c>
      <c r="D475" s="4">
        <v>1.4337010038356857E-2</v>
      </c>
    </row>
    <row r="476" spans="1:4" x14ac:dyDescent="0.35">
      <c r="A476" s="2">
        <v>44515</v>
      </c>
      <c r="B476">
        <v>147.58248901367099</v>
      </c>
      <c r="D476" s="4">
        <v>6.6588621491892042E-5</v>
      </c>
    </row>
    <row r="477" spans="1:4" x14ac:dyDescent="0.35">
      <c r="A477" s="2">
        <v>44516</v>
      </c>
      <c r="B477">
        <v>148.56637573242099</v>
      </c>
      <c r="D477" s="4">
        <v>6.6666901020950853E-3</v>
      </c>
    </row>
    <row r="478" spans="1:4" x14ac:dyDescent="0.35">
      <c r="A478" s="2">
        <v>44517</v>
      </c>
      <c r="B478">
        <v>151.01625061035099</v>
      </c>
      <c r="D478" s="4">
        <v>1.6490103267662759E-2</v>
      </c>
    </row>
    <row r="479" spans="1:4" x14ac:dyDescent="0.35">
      <c r="A479" s="2">
        <v>44518</v>
      </c>
      <c r="B479">
        <v>155.32565307617099</v>
      </c>
      <c r="D479" s="4">
        <v>2.8536018133167973E-2</v>
      </c>
    </row>
    <row r="480" spans="1:4" x14ac:dyDescent="0.35">
      <c r="A480" s="2">
        <v>44519</v>
      </c>
      <c r="B480">
        <v>157.96243286132801</v>
      </c>
      <c r="D480" s="4">
        <v>1.6975816505107266E-2</v>
      </c>
    </row>
    <row r="481" spans="1:4" x14ac:dyDescent="0.35">
      <c r="A481" s="2">
        <v>44522</v>
      </c>
      <c r="B481">
        <v>158.42489624023401</v>
      </c>
      <c r="D481" s="4">
        <v>2.9276795154957735E-3</v>
      </c>
    </row>
    <row r="482" spans="1:4" x14ac:dyDescent="0.35">
      <c r="A482" s="2">
        <v>44523</v>
      </c>
      <c r="B482">
        <v>158.80859375</v>
      </c>
      <c r="D482" s="4">
        <v>2.4219520976309639E-3</v>
      </c>
    </row>
    <row r="483" spans="1:4" x14ac:dyDescent="0.35">
      <c r="A483" s="2">
        <v>44524</v>
      </c>
      <c r="B483">
        <v>159.33004760742099</v>
      </c>
      <c r="D483" s="4">
        <v>3.2835367728392129E-3</v>
      </c>
    </row>
    <row r="484" spans="1:4" x14ac:dyDescent="0.35">
      <c r="A484" s="2">
        <v>44526</v>
      </c>
      <c r="B484">
        <v>154.28276062011699</v>
      </c>
      <c r="D484" s="4">
        <v>-3.1678186651523443E-2</v>
      </c>
    </row>
    <row r="485" spans="1:4" x14ac:dyDescent="0.35">
      <c r="A485" s="2">
        <v>44529</v>
      </c>
      <c r="B485">
        <v>157.65744018554599</v>
      </c>
      <c r="D485" s="4">
        <v>2.1873341855337403E-2</v>
      </c>
    </row>
    <row r="486" spans="1:4" x14ac:dyDescent="0.35">
      <c r="A486" s="2">
        <v>44530</v>
      </c>
      <c r="B486">
        <v>162.63591003417901</v>
      </c>
      <c r="D486" s="4">
        <v>3.1577766598099632E-2</v>
      </c>
    </row>
    <row r="487" spans="1:4" x14ac:dyDescent="0.35">
      <c r="A487" s="2">
        <v>44531</v>
      </c>
      <c r="B487">
        <v>162.11444091796801</v>
      </c>
      <c r="D487" s="4">
        <v>-3.2063590144476573E-3</v>
      </c>
    </row>
    <row r="488" spans="1:4" x14ac:dyDescent="0.35">
      <c r="A488" s="2">
        <v>44532</v>
      </c>
      <c r="B488">
        <v>161.12072753906199</v>
      </c>
      <c r="D488" s="4">
        <v>-6.1297030250923035E-3</v>
      </c>
    </row>
    <row r="489" spans="1:4" x14ac:dyDescent="0.35">
      <c r="A489" s="2">
        <v>44533</v>
      </c>
      <c r="B489">
        <v>159.231689453125</v>
      </c>
      <c r="D489" s="4">
        <v>-1.1724364175794921E-2</v>
      </c>
    </row>
    <row r="490" spans="1:4" x14ac:dyDescent="0.35">
      <c r="A490" s="2">
        <v>44536</v>
      </c>
      <c r="B490">
        <v>162.65557861328099</v>
      </c>
      <c r="D490" s="4">
        <v>2.1502561279825638E-2</v>
      </c>
    </row>
    <row r="491" spans="1:4" x14ac:dyDescent="0.35">
      <c r="A491" s="2">
        <v>44537</v>
      </c>
      <c r="B491">
        <v>168.421142578125</v>
      </c>
      <c r="D491" s="4">
        <v>3.5446456949083993E-2</v>
      </c>
    </row>
    <row r="492" spans="1:4" x14ac:dyDescent="0.35">
      <c r="A492" s="2">
        <v>44538</v>
      </c>
      <c r="B492">
        <v>172.25823974609301</v>
      </c>
      <c r="D492" s="4">
        <v>2.27827522675077E-2</v>
      </c>
    </row>
    <row r="493" spans="1:4" x14ac:dyDescent="0.35">
      <c r="A493" s="2">
        <v>44539</v>
      </c>
      <c r="B493">
        <v>171.74664306640599</v>
      </c>
      <c r="D493" s="4">
        <v>-2.9699402504118622E-3</v>
      </c>
    </row>
    <row r="494" spans="1:4" x14ac:dyDescent="0.35">
      <c r="A494" s="2">
        <v>44540</v>
      </c>
      <c r="B494">
        <v>176.55783081054599</v>
      </c>
      <c r="D494" s="4">
        <v>2.8013285489834949E-2</v>
      </c>
    </row>
    <row r="495" spans="1:4" x14ac:dyDescent="0.35">
      <c r="A495" s="2">
        <v>44543</v>
      </c>
      <c r="B495">
        <v>172.90765380859301</v>
      </c>
      <c r="D495" s="4">
        <v>-2.0674115586919339E-2</v>
      </c>
    </row>
    <row r="496" spans="1:4" x14ac:dyDescent="0.35">
      <c r="A496" s="2">
        <v>44544</v>
      </c>
      <c r="B496">
        <v>171.52037048339801</v>
      </c>
      <c r="D496" s="4">
        <v>-8.0232615193004397E-3</v>
      </c>
    </row>
    <row r="497" spans="1:4" x14ac:dyDescent="0.35">
      <c r="A497" s="2">
        <v>44545</v>
      </c>
      <c r="B497">
        <v>176.41029357910099</v>
      </c>
      <c r="D497" s="4">
        <v>2.8509284826762293E-2</v>
      </c>
    </row>
    <row r="498" spans="1:4" x14ac:dyDescent="0.35">
      <c r="A498" s="2">
        <v>44546</v>
      </c>
      <c r="B498">
        <v>169.48374938964801</v>
      </c>
      <c r="D498" s="4">
        <v>-3.9263832336105531E-2</v>
      </c>
    </row>
    <row r="499" spans="1:4" x14ac:dyDescent="0.35">
      <c r="A499" s="2">
        <v>44547</v>
      </c>
      <c r="B499">
        <v>168.38175964355401</v>
      </c>
      <c r="D499" s="4">
        <v>-6.502037806353389E-3</v>
      </c>
    </row>
    <row r="500" spans="1:4" x14ac:dyDescent="0.35">
      <c r="A500" s="2">
        <v>44550</v>
      </c>
      <c r="B500">
        <v>167.01419067382801</v>
      </c>
      <c r="D500" s="4">
        <v>-8.1218355991824476E-3</v>
      </c>
    </row>
    <row r="501" spans="1:4" x14ac:dyDescent="0.35">
      <c r="A501" s="2">
        <v>44551</v>
      </c>
      <c r="B501">
        <v>170.20196533203099</v>
      </c>
      <c r="D501" s="4">
        <v>1.9086849119477334E-2</v>
      </c>
    </row>
    <row r="502" spans="1:4" x14ac:dyDescent="0.35">
      <c r="A502" s="2">
        <v>44552</v>
      </c>
      <c r="B502">
        <v>172.80924987792901</v>
      </c>
      <c r="D502" s="4">
        <v>1.531876873931326E-2</v>
      </c>
    </row>
    <row r="503" spans="1:4" x14ac:dyDescent="0.35">
      <c r="A503" s="2">
        <v>44553</v>
      </c>
      <c r="B503">
        <v>173.43893432617099</v>
      </c>
      <c r="D503" s="4">
        <v>3.6438121725936856E-3</v>
      </c>
    </row>
    <row r="504" spans="1:4" x14ac:dyDescent="0.35">
      <c r="A504" s="2">
        <v>44557</v>
      </c>
      <c r="B504">
        <v>177.42367553710901</v>
      </c>
      <c r="D504" s="4">
        <v>2.2974894457344019E-2</v>
      </c>
    </row>
    <row r="505" spans="1:4" x14ac:dyDescent="0.35">
      <c r="A505" s="2">
        <v>44558</v>
      </c>
      <c r="B505">
        <v>176.40042114257801</v>
      </c>
      <c r="D505" s="4">
        <v>-5.7672934090297057E-3</v>
      </c>
    </row>
    <row r="506" spans="1:4" x14ac:dyDescent="0.35">
      <c r="A506" s="2">
        <v>44559</v>
      </c>
      <c r="B506">
        <v>176.488998413085</v>
      </c>
      <c r="D506" s="4">
        <v>5.0213752287686653E-4</v>
      </c>
    </row>
    <row r="507" spans="1:4" x14ac:dyDescent="0.35">
      <c r="A507" s="2">
        <v>44560</v>
      </c>
      <c r="B507">
        <v>175.32797241210901</v>
      </c>
      <c r="D507" s="4">
        <v>-6.5784610452518377E-3</v>
      </c>
    </row>
    <row r="508" spans="1:4" x14ac:dyDescent="0.35">
      <c r="A508" s="2">
        <v>44561</v>
      </c>
      <c r="B508">
        <v>174.70817565917901</v>
      </c>
      <c r="D508" s="4">
        <v>-3.5350705560728279E-3</v>
      </c>
    </row>
    <row r="509" spans="1:4" x14ac:dyDescent="0.35">
      <c r="A509" s="2">
        <v>44564</v>
      </c>
      <c r="B509">
        <v>179.07659912109301</v>
      </c>
      <c r="D509" s="4">
        <v>2.500411583734885E-2</v>
      </c>
    </row>
    <row r="510" spans="1:4" x14ac:dyDescent="0.35">
      <c r="A510" s="2">
        <v>44565</v>
      </c>
      <c r="B510">
        <v>176.80383300781199</v>
      </c>
      <c r="D510" s="4">
        <v>-1.2691586306841529E-2</v>
      </c>
    </row>
    <row r="511" spans="1:4" x14ac:dyDescent="0.35">
      <c r="A511" s="2">
        <v>44566</v>
      </c>
      <c r="B511">
        <v>172.10086059570301</v>
      </c>
      <c r="D511" s="4">
        <v>-2.6599946008530106E-2</v>
      </c>
    </row>
    <row r="512" spans="1:4" x14ac:dyDescent="0.35">
      <c r="A512" s="2">
        <v>44567</v>
      </c>
      <c r="B512">
        <v>169.227935791015</v>
      </c>
      <c r="D512" s="4">
        <v>-1.6693262280872867E-2</v>
      </c>
    </row>
    <row r="513" spans="1:4" x14ac:dyDescent="0.35">
      <c r="A513" s="2">
        <v>44568</v>
      </c>
      <c r="B513">
        <v>169.39518737792901</v>
      </c>
      <c r="D513" s="4">
        <v>9.8832137928184238E-4</v>
      </c>
    </row>
    <row r="514" spans="1:4" x14ac:dyDescent="0.35">
      <c r="A514" s="2">
        <v>44571</v>
      </c>
      <c r="B514">
        <v>169.41484069824199</v>
      </c>
      <c r="D514" s="4">
        <v>1.1602053527726142E-4</v>
      </c>
    </row>
    <row r="515" spans="1:4" x14ac:dyDescent="0.35">
      <c r="A515" s="2">
        <v>44572</v>
      </c>
      <c r="B515">
        <v>172.25823974609301</v>
      </c>
      <c r="D515" s="4">
        <v>1.6783647974002669E-2</v>
      </c>
    </row>
    <row r="516" spans="1:4" x14ac:dyDescent="0.35">
      <c r="A516" s="2">
        <v>44573</v>
      </c>
      <c r="B516">
        <v>172.70103454589801</v>
      </c>
      <c r="D516" s="4">
        <v>2.5705289944775167E-3</v>
      </c>
    </row>
    <row r="517" spans="1:4" x14ac:dyDescent="0.35">
      <c r="A517" s="2">
        <v>44574</v>
      </c>
      <c r="B517">
        <v>169.41484069824199</v>
      </c>
      <c r="D517" s="4">
        <v>-1.902822328943643E-2</v>
      </c>
    </row>
    <row r="518" spans="1:4" x14ac:dyDescent="0.35">
      <c r="A518" s="2">
        <v>44575</v>
      </c>
      <c r="B518">
        <v>170.28068542480401</v>
      </c>
      <c r="D518" s="4">
        <v>5.1107962147438624E-3</v>
      </c>
    </row>
    <row r="519" spans="1:4" x14ac:dyDescent="0.35">
      <c r="A519" s="2">
        <v>44579</v>
      </c>
      <c r="B519">
        <v>167.06336975097599</v>
      </c>
      <c r="D519" s="4">
        <v>-1.8894190294111657E-2</v>
      </c>
    </row>
    <row r="520" spans="1:4" x14ac:dyDescent="0.35">
      <c r="A520" s="2">
        <v>44580</v>
      </c>
      <c r="B520">
        <v>163.55091857910099</v>
      </c>
      <c r="D520" s="4">
        <v>-2.1024663737542526E-2</v>
      </c>
    </row>
    <row r="521" spans="1:4" x14ac:dyDescent="0.35">
      <c r="A521" s="2">
        <v>44581</v>
      </c>
      <c r="B521">
        <v>161.858627319335</v>
      </c>
      <c r="D521" s="4">
        <v>-1.0347182849648862E-2</v>
      </c>
    </row>
    <row r="522" spans="1:4" x14ac:dyDescent="0.35">
      <c r="A522" s="2">
        <v>44582</v>
      </c>
      <c r="B522">
        <v>159.79251098632801</v>
      </c>
      <c r="D522" s="4">
        <v>-1.2764944119603161E-2</v>
      </c>
    </row>
    <row r="523" spans="1:4" x14ac:dyDescent="0.35">
      <c r="A523" s="2">
        <v>44585</v>
      </c>
      <c r="B523">
        <v>159.015213012695</v>
      </c>
      <c r="D523" s="4">
        <v>-4.8644205465894208E-3</v>
      </c>
    </row>
    <row r="524" spans="1:4" x14ac:dyDescent="0.35">
      <c r="A524" s="2">
        <v>44586</v>
      </c>
      <c r="B524">
        <v>157.20486450195301</v>
      </c>
      <c r="D524" s="4">
        <v>-1.1384750404965671E-2</v>
      </c>
    </row>
    <row r="525" spans="1:4" x14ac:dyDescent="0.35">
      <c r="A525" s="2">
        <v>44587</v>
      </c>
      <c r="B525">
        <v>157.11631774902301</v>
      </c>
      <c r="D525" s="4">
        <v>-5.6325707992899154E-4</v>
      </c>
    </row>
    <row r="526" spans="1:4" x14ac:dyDescent="0.35">
      <c r="A526" s="2">
        <v>44588</v>
      </c>
      <c r="B526">
        <v>156.65386962890599</v>
      </c>
      <c r="D526" s="4">
        <v>-2.9433487669672243E-3</v>
      </c>
    </row>
    <row r="527" spans="1:4" x14ac:dyDescent="0.35">
      <c r="A527" s="2">
        <v>44589</v>
      </c>
      <c r="B527">
        <v>167.58483886718699</v>
      </c>
      <c r="D527" s="4">
        <v>6.9777843753078939E-2</v>
      </c>
    </row>
    <row r="528" spans="1:4" x14ac:dyDescent="0.35">
      <c r="A528" s="2">
        <v>44592</v>
      </c>
      <c r="B528">
        <v>171.963119506835</v>
      </c>
      <c r="D528" s="4">
        <v>2.6125756179637749E-2</v>
      </c>
    </row>
    <row r="529" spans="1:4" x14ac:dyDescent="0.35">
      <c r="A529" s="2">
        <v>44593</v>
      </c>
      <c r="B529">
        <v>171.7958984375</v>
      </c>
      <c r="D529" s="4">
        <v>-9.7242402798092265E-4</v>
      </c>
    </row>
    <row r="530" spans="1:4" x14ac:dyDescent="0.35">
      <c r="A530" s="2">
        <v>44594</v>
      </c>
      <c r="B530">
        <v>173.00605773925699</v>
      </c>
      <c r="D530" s="4">
        <v>7.0441687651654483E-3</v>
      </c>
    </row>
    <row r="531" spans="1:4" x14ac:dyDescent="0.35">
      <c r="A531" s="2">
        <v>44595</v>
      </c>
      <c r="B531">
        <v>170.11341857910099</v>
      </c>
      <c r="D531" s="4">
        <v>-1.6719872112892054E-2</v>
      </c>
    </row>
    <row r="532" spans="1:4" x14ac:dyDescent="0.35">
      <c r="A532" s="2">
        <v>44596</v>
      </c>
      <c r="B532">
        <v>169.82772827148401</v>
      </c>
      <c r="D532" s="4">
        <v>-1.6794107719617646E-3</v>
      </c>
    </row>
    <row r="533" spans="1:4" x14ac:dyDescent="0.35">
      <c r="A533" s="2">
        <v>44599</v>
      </c>
      <c r="B533">
        <v>169.10861206054599</v>
      </c>
      <c r="D533" s="4">
        <v>-4.2343863293539119E-3</v>
      </c>
    </row>
    <row r="534" spans="1:4" x14ac:dyDescent="0.35">
      <c r="A534" s="2">
        <v>44600</v>
      </c>
      <c r="B534">
        <v>172.23146057128901</v>
      </c>
      <c r="D534" s="4">
        <v>1.8466525581943394E-2</v>
      </c>
    </row>
    <row r="535" spans="1:4" x14ac:dyDescent="0.35">
      <c r="A535" s="2">
        <v>44601</v>
      </c>
      <c r="B535">
        <v>173.659912109375</v>
      </c>
      <c r="D535" s="4">
        <v>8.293789841576249E-3</v>
      </c>
    </row>
    <row r="536" spans="1:4" x14ac:dyDescent="0.35">
      <c r="A536" s="2">
        <v>44602</v>
      </c>
      <c r="B536">
        <v>169.56173706054599</v>
      </c>
      <c r="D536" s="4">
        <v>-2.3598854790666257E-2</v>
      </c>
    </row>
    <row r="537" spans="1:4" x14ac:dyDescent="0.35">
      <c r="A537" s="2">
        <v>44603</v>
      </c>
      <c r="B537">
        <v>166.13348388671801</v>
      </c>
      <c r="D537" s="4">
        <v>-2.0218318314372041E-2</v>
      </c>
    </row>
    <row r="538" spans="1:4" x14ac:dyDescent="0.35">
      <c r="A538" s="2">
        <v>44606</v>
      </c>
      <c r="B538">
        <v>166.36990356445301</v>
      </c>
      <c r="D538" s="4">
        <v>1.4230706068634191E-3</v>
      </c>
    </row>
    <row r="539" spans="1:4" x14ac:dyDescent="0.35">
      <c r="A539" s="2">
        <v>44607</v>
      </c>
      <c r="B539">
        <v>170.22178649902301</v>
      </c>
      <c r="D539" s="4">
        <v>2.3152522493816052E-2</v>
      </c>
    </row>
    <row r="540" spans="1:4" x14ac:dyDescent="0.35">
      <c r="A540" s="2">
        <v>44608</v>
      </c>
      <c r="B540">
        <v>169.9853515625</v>
      </c>
      <c r="D540" s="4">
        <v>-1.3889816420435963E-3</v>
      </c>
    </row>
    <row r="541" spans="1:4" x14ac:dyDescent="0.35">
      <c r="A541" s="2">
        <v>44609</v>
      </c>
      <c r="B541">
        <v>166.36990356445301</v>
      </c>
      <c r="D541" s="4">
        <v>-2.1269173871830138E-2</v>
      </c>
    </row>
    <row r="542" spans="1:4" x14ac:dyDescent="0.35">
      <c r="A542" s="2">
        <v>44610</v>
      </c>
      <c r="B542">
        <v>164.81336975097599</v>
      </c>
      <c r="D542" s="4">
        <v>-9.3558617281640499E-3</v>
      </c>
    </row>
    <row r="543" spans="1:4" x14ac:dyDescent="0.35">
      <c r="A543" s="2">
        <v>44614</v>
      </c>
      <c r="B543">
        <v>161.877685546875</v>
      </c>
      <c r="D543" s="4">
        <v>-1.7812172692886818E-2</v>
      </c>
    </row>
    <row r="544" spans="1:4" x14ac:dyDescent="0.35">
      <c r="A544" s="2">
        <v>44615</v>
      </c>
      <c r="B544">
        <v>157.69087219238199</v>
      </c>
      <c r="D544" s="4">
        <v>-2.5864054952037474E-2</v>
      </c>
    </row>
    <row r="545" spans="1:4" x14ac:dyDescent="0.35">
      <c r="A545" s="2">
        <v>44616</v>
      </c>
      <c r="B545">
        <v>160.32115173339801</v>
      </c>
      <c r="D545" s="4">
        <v>1.6679973320250951E-2</v>
      </c>
    </row>
    <row r="546" spans="1:4" x14ac:dyDescent="0.35">
      <c r="A546" s="2">
        <v>44617</v>
      </c>
      <c r="B546">
        <v>162.39982604980401</v>
      </c>
      <c r="D546" s="4">
        <v>1.2965689766642141E-2</v>
      </c>
    </row>
    <row r="547" spans="1:4" x14ac:dyDescent="0.35">
      <c r="A547" s="2">
        <v>44620</v>
      </c>
      <c r="B547">
        <v>162.66578674316401</v>
      </c>
      <c r="D547" s="4">
        <v>1.6376907526884921E-3</v>
      </c>
    </row>
    <row r="548" spans="1:4" x14ac:dyDescent="0.35">
      <c r="A548" s="2">
        <v>44621</v>
      </c>
      <c r="B548">
        <v>160.77433776855401</v>
      </c>
      <c r="D548" s="4">
        <v>-1.1627822988963477E-2</v>
      </c>
    </row>
    <row r="549" spans="1:4" x14ac:dyDescent="0.35">
      <c r="A549" s="2">
        <v>44622</v>
      </c>
      <c r="B549">
        <v>164.08441162109301</v>
      </c>
      <c r="D549" s="4">
        <v>2.05883221071268E-2</v>
      </c>
    </row>
    <row r="550" spans="1:4" x14ac:dyDescent="0.35">
      <c r="A550" s="2">
        <v>44623</v>
      </c>
      <c r="B550">
        <v>163.75930786132801</v>
      </c>
      <c r="D550" s="4">
        <v>-1.9813202031386812E-3</v>
      </c>
    </row>
    <row r="551" spans="1:4" x14ac:dyDescent="0.35">
      <c r="A551" s="2">
        <v>44624</v>
      </c>
      <c r="B551">
        <v>160.74473571777301</v>
      </c>
      <c r="D551" s="4">
        <v>-1.8408554499434904E-2</v>
      </c>
    </row>
    <row r="552" spans="1:4" x14ac:dyDescent="0.35">
      <c r="A552" s="2">
        <v>44627</v>
      </c>
      <c r="B552">
        <v>156.93231201171801</v>
      </c>
      <c r="D552" s="4">
        <v>-2.3717253874793398E-2</v>
      </c>
    </row>
    <row r="553" spans="1:4" x14ac:dyDescent="0.35">
      <c r="A553" s="2">
        <v>44628</v>
      </c>
      <c r="B553">
        <v>155.09994506835901</v>
      </c>
      <c r="D553" s="4">
        <v>-1.1676161014069431E-2</v>
      </c>
    </row>
    <row r="554" spans="1:4" x14ac:dyDescent="0.35">
      <c r="A554" s="2">
        <v>44629</v>
      </c>
      <c r="B554">
        <v>160.52804565429599</v>
      </c>
      <c r="D554" s="4">
        <v>3.4997437191512937E-2</v>
      </c>
    </row>
    <row r="555" spans="1:4" x14ac:dyDescent="0.35">
      <c r="A555" s="2">
        <v>44630</v>
      </c>
      <c r="B555">
        <v>156.16390991210901</v>
      </c>
      <c r="D555" s="4">
        <v>-2.7186126414230127E-2</v>
      </c>
    </row>
    <row r="556" spans="1:4" x14ac:dyDescent="0.35">
      <c r="A556" s="2">
        <v>44631</v>
      </c>
      <c r="B556">
        <v>152.43020629882801</v>
      </c>
      <c r="D556" s="4">
        <v>-2.3908876355505981E-2</v>
      </c>
    </row>
    <row r="557" spans="1:4" x14ac:dyDescent="0.35">
      <c r="A557" s="2">
        <v>44634</v>
      </c>
      <c r="B557">
        <v>148.38133239746</v>
      </c>
      <c r="D557" s="4">
        <v>-2.6562149325118023E-2</v>
      </c>
    </row>
    <row r="558" spans="1:4" x14ac:dyDescent="0.35">
      <c r="A558" s="2">
        <v>44635</v>
      </c>
      <c r="B558">
        <v>152.78486633300699</v>
      </c>
      <c r="D558" s="4">
        <v>2.9677142430231784E-2</v>
      </c>
    </row>
    <row r="559" spans="1:4" x14ac:dyDescent="0.35">
      <c r="A559" s="2">
        <v>44636</v>
      </c>
      <c r="B559">
        <v>157.21798706054599</v>
      </c>
      <c r="D559" s="4">
        <v>2.90154439633874E-2</v>
      </c>
    </row>
    <row r="560" spans="1:4" x14ac:dyDescent="0.35">
      <c r="A560" s="2">
        <v>44637</v>
      </c>
      <c r="B560">
        <v>158.232650756835</v>
      </c>
      <c r="D560" s="4">
        <v>6.4538652049923595E-3</v>
      </c>
    </row>
    <row r="561" spans="1:4" x14ac:dyDescent="0.35">
      <c r="A561" s="2">
        <v>44638</v>
      </c>
      <c r="B561">
        <v>161.54273986816401</v>
      </c>
      <c r="D561" s="4">
        <v>2.0919128229835549E-2</v>
      </c>
    </row>
    <row r="562" spans="1:4" x14ac:dyDescent="0.35">
      <c r="A562" s="2">
        <v>44641</v>
      </c>
      <c r="B562">
        <v>162.92193603515599</v>
      </c>
      <c r="D562" s="4">
        <v>8.5376549148390435E-3</v>
      </c>
    </row>
    <row r="563" spans="1:4" x14ac:dyDescent="0.35">
      <c r="A563" s="2">
        <v>44642</v>
      </c>
      <c r="B563">
        <v>166.310791015625</v>
      </c>
      <c r="D563" s="4">
        <v>2.0800483120564817E-2</v>
      </c>
    </row>
    <row r="564" spans="1:4" x14ac:dyDescent="0.35">
      <c r="A564" s="2">
        <v>44643</v>
      </c>
      <c r="B564">
        <v>167.68011474609301</v>
      </c>
      <c r="D564" s="4">
        <v>8.2335230450523156E-3</v>
      </c>
    </row>
    <row r="565" spans="1:4" x14ac:dyDescent="0.35">
      <c r="A565" s="2">
        <v>44644</v>
      </c>
      <c r="B565">
        <v>171.48275756835901</v>
      </c>
      <c r="D565" s="4">
        <v>2.2677959327640496E-2</v>
      </c>
    </row>
    <row r="566" spans="1:4" x14ac:dyDescent="0.35">
      <c r="A566" s="2">
        <v>44645</v>
      </c>
      <c r="B566">
        <v>172.12309265136699</v>
      </c>
      <c r="D566" s="4">
        <v>3.7341076857404509E-3</v>
      </c>
    </row>
    <row r="567" spans="1:4" x14ac:dyDescent="0.35">
      <c r="A567" s="2">
        <v>44648</v>
      </c>
      <c r="B567">
        <v>172.99003601074199</v>
      </c>
      <c r="D567" s="4">
        <v>5.0367637835266876E-3</v>
      </c>
    </row>
    <row r="568" spans="1:4" x14ac:dyDescent="0.35">
      <c r="A568" s="2">
        <v>44649</v>
      </c>
      <c r="B568">
        <v>176.30009460449199</v>
      </c>
      <c r="D568" s="4">
        <v>1.9134388720194684E-2</v>
      </c>
    </row>
    <row r="569" spans="1:4" x14ac:dyDescent="0.35">
      <c r="A569" s="2">
        <v>44650</v>
      </c>
      <c r="B569">
        <v>175.12777709960901</v>
      </c>
      <c r="D569" s="4">
        <v>-6.649556867867501E-3</v>
      </c>
    </row>
    <row r="570" spans="1:4" x14ac:dyDescent="0.35">
      <c r="A570" s="2">
        <v>44651</v>
      </c>
      <c r="B570">
        <v>172.01477050781199</v>
      </c>
      <c r="D570" s="4">
        <v>-1.7775630133342046E-2</v>
      </c>
    </row>
    <row r="571" spans="1:4" x14ac:dyDescent="0.35">
      <c r="A571" s="2">
        <v>44652</v>
      </c>
      <c r="B571">
        <v>171.71917724609301</v>
      </c>
      <c r="D571" s="4">
        <v>-1.7184179058946647E-3</v>
      </c>
    </row>
    <row r="572" spans="1:4" x14ac:dyDescent="0.35">
      <c r="A572" s="2">
        <v>44655</v>
      </c>
      <c r="B572">
        <v>175.78779602050699</v>
      </c>
      <c r="D572" s="4">
        <v>2.369344437623977E-2</v>
      </c>
    </row>
    <row r="573" spans="1:4" x14ac:dyDescent="0.35">
      <c r="A573" s="2">
        <v>44656</v>
      </c>
      <c r="B573">
        <v>172.45805358886699</v>
      </c>
      <c r="D573" s="4">
        <v>-1.8941829336386662E-2</v>
      </c>
    </row>
    <row r="574" spans="1:4" x14ac:dyDescent="0.35">
      <c r="A574" s="2">
        <v>44657</v>
      </c>
      <c r="B574">
        <v>169.27607727050699</v>
      </c>
      <c r="D574" s="4">
        <v>-1.8450726145533891E-2</v>
      </c>
    </row>
    <row r="575" spans="1:4" x14ac:dyDescent="0.35">
      <c r="A575" s="2">
        <v>44658</v>
      </c>
      <c r="B575">
        <v>169.58143615722599</v>
      </c>
      <c r="D575" s="4">
        <v>1.8039104617897372E-3</v>
      </c>
    </row>
    <row r="576" spans="1:4" x14ac:dyDescent="0.35">
      <c r="A576" s="2">
        <v>44659</v>
      </c>
      <c r="B576">
        <v>167.561920166015</v>
      </c>
      <c r="D576" s="4">
        <v>-1.1908827033040414E-2</v>
      </c>
    </row>
    <row r="577" spans="1:4" x14ac:dyDescent="0.35">
      <c r="A577" s="2">
        <v>44662</v>
      </c>
      <c r="B577">
        <v>163.28642272949199</v>
      </c>
      <c r="D577" s="4">
        <v>-2.5515925290704344E-2</v>
      </c>
    </row>
    <row r="578" spans="1:4" x14ac:dyDescent="0.35">
      <c r="A578" s="2">
        <v>44663</v>
      </c>
      <c r="B578">
        <v>165.168045043945</v>
      </c>
      <c r="D578" s="4">
        <v>1.1523446242497348E-2</v>
      </c>
    </row>
    <row r="579" spans="1:4" x14ac:dyDescent="0.35">
      <c r="A579" s="2">
        <v>44664</v>
      </c>
      <c r="B579">
        <v>167.86729431152301</v>
      </c>
      <c r="D579" s="4">
        <v>1.6342442431039439E-2</v>
      </c>
    </row>
    <row r="580" spans="1:4" x14ac:dyDescent="0.35">
      <c r="A580" s="2">
        <v>44665</v>
      </c>
      <c r="B580">
        <v>162.83326721191401</v>
      </c>
      <c r="D580" s="4">
        <v>-2.9988135093587776E-2</v>
      </c>
    </row>
    <row r="581" spans="1:4" x14ac:dyDescent="0.35">
      <c r="A581" s="2">
        <v>44669</v>
      </c>
      <c r="B581">
        <v>162.61656188964801</v>
      </c>
      <c r="D581" s="4">
        <v>-1.3308418235198349E-3</v>
      </c>
    </row>
    <row r="582" spans="1:4" x14ac:dyDescent="0.35">
      <c r="A582" s="2">
        <v>44670</v>
      </c>
      <c r="B582">
        <v>164.91188049316401</v>
      </c>
      <c r="D582" s="4">
        <v>1.4114912877530861E-2</v>
      </c>
    </row>
    <row r="583" spans="1:4" x14ac:dyDescent="0.35">
      <c r="A583" s="2">
        <v>44671</v>
      </c>
      <c r="B583">
        <v>164.74441528320301</v>
      </c>
      <c r="D583" s="4">
        <v>-1.0154829928576969E-3</v>
      </c>
    </row>
    <row r="584" spans="1:4" x14ac:dyDescent="0.35">
      <c r="A584" s="2">
        <v>44672</v>
      </c>
      <c r="B584">
        <v>163.94644165039</v>
      </c>
      <c r="D584" s="4">
        <v>-4.8437067286394297E-3</v>
      </c>
    </row>
    <row r="585" spans="1:4" x14ac:dyDescent="0.35">
      <c r="A585" s="2">
        <v>44673</v>
      </c>
      <c r="B585">
        <v>159.38526916503901</v>
      </c>
      <c r="D585" s="4">
        <v>-2.7821113038107526E-2</v>
      </c>
    </row>
    <row r="586" spans="1:4" x14ac:dyDescent="0.35">
      <c r="A586" s="2">
        <v>44676</v>
      </c>
      <c r="B586">
        <v>160.45907592773401</v>
      </c>
      <c r="D586" s="4">
        <v>6.7371769569439799E-3</v>
      </c>
    </row>
    <row r="587" spans="1:4" x14ac:dyDescent="0.35">
      <c r="A587" s="2">
        <v>44677</v>
      </c>
      <c r="B587">
        <v>154.469467163085</v>
      </c>
      <c r="D587" s="4">
        <v>-3.7327952501400086E-2</v>
      </c>
    </row>
    <row r="588" spans="1:4" x14ac:dyDescent="0.35">
      <c r="A588" s="2">
        <v>44678</v>
      </c>
      <c r="B588">
        <v>154.24288940429599</v>
      </c>
      <c r="D588" s="4">
        <v>-1.4668125873043003E-3</v>
      </c>
    </row>
    <row r="589" spans="1:4" x14ac:dyDescent="0.35">
      <c r="A589" s="2">
        <v>44679</v>
      </c>
      <c r="B589">
        <v>161.20780944824199</v>
      </c>
      <c r="D589" s="4">
        <v>4.5155534046628087E-2</v>
      </c>
    </row>
    <row r="590" spans="1:4" x14ac:dyDescent="0.35">
      <c r="A590" s="2">
        <v>44680</v>
      </c>
      <c r="B590">
        <v>155.30680847167901</v>
      </c>
      <c r="D590" s="4">
        <v>-3.66049324580493E-2</v>
      </c>
    </row>
    <row r="591" spans="1:4" x14ac:dyDescent="0.35">
      <c r="A591" s="2">
        <v>44683</v>
      </c>
      <c r="B591">
        <v>155.612213134765</v>
      </c>
      <c r="D591" s="4">
        <v>1.9664602350109028E-3</v>
      </c>
    </row>
    <row r="592" spans="1:4" x14ac:dyDescent="0.35">
      <c r="A592" s="2">
        <v>44684</v>
      </c>
      <c r="B592">
        <v>157.109619140625</v>
      </c>
      <c r="D592" s="4">
        <v>9.6226766247660134E-3</v>
      </c>
    </row>
    <row r="593" spans="1:4" x14ac:dyDescent="0.35">
      <c r="A593" s="2">
        <v>44685</v>
      </c>
      <c r="B593">
        <v>163.55241394042901</v>
      </c>
      <c r="D593" s="4">
        <v>4.1008277119157333E-2</v>
      </c>
    </row>
    <row r="594" spans="1:4" x14ac:dyDescent="0.35">
      <c r="A594" s="2">
        <v>44686</v>
      </c>
      <c r="B594">
        <v>154.43988037109301</v>
      </c>
      <c r="D594" s="4">
        <v>-5.571628904636694E-2</v>
      </c>
    </row>
    <row r="595" spans="1:4" x14ac:dyDescent="0.35">
      <c r="A595" s="2">
        <v>44687</v>
      </c>
      <c r="B595">
        <v>155.16993713378901</v>
      </c>
      <c r="D595" s="4">
        <v>4.7271259272008148E-3</v>
      </c>
    </row>
    <row r="596" spans="1:4" x14ac:dyDescent="0.35">
      <c r="A596" s="2">
        <v>44690</v>
      </c>
      <c r="B596">
        <v>150.01998901367099</v>
      </c>
      <c r="D596" s="4">
        <v>-3.3189084272668645E-2</v>
      </c>
    </row>
    <row r="597" spans="1:4" x14ac:dyDescent="0.35">
      <c r="A597" s="2">
        <v>44691</v>
      </c>
      <c r="B597">
        <v>152.43711853027301</v>
      </c>
      <c r="D597" s="4">
        <v>1.6112049684137375E-2</v>
      </c>
    </row>
    <row r="598" spans="1:4" x14ac:dyDescent="0.35">
      <c r="A598" s="2">
        <v>44692</v>
      </c>
      <c r="B598">
        <v>144.53459167480401</v>
      </c>
      <c r="D598" s="4">
        <v>-5.184122431374627E-2</v>
      </c>
    </row>
    <row r="599" spans="1:4" x14ac:dyDescent="0.35">
      <c r="A599" s="2">
        <v>44693</v>
      </c>
      <c r="B599">
        <v>140.64743041992099</v>
      </c>
      <c r="D599" s="4">
        <v>-2.6894331729451548E-2</v>
      </c>
    </row>
    <row r="600" spans="1:4" x14ac:dyDescent="0.35">
      <c r="A600" s="2">
        <v>44694</v>
      </c>
      <c r="B600">
        <v>145.13638305664</v>
      </c>
      <c r="D600" s="4">
        <v>3.1916350148144534E-2</v>
      </c>
    </row>
    <row r="601" spans="1:4" x14ac:dyDescent="0.35">
      <c r="A601" s="2">
        <v>44697</v>
      </c>
      <c r="B601">
        <v>143.58746337890599</v>
      </c>
      <c r="D601" s="4">
        <v>-1.0672166724242649E-2</v>
      </c>
    </row>
    <row r="602" spans="1:4" x14ac:dyDescent="0.35">
      <c r="A602" s="2">
        <v>44698</v>
      </c>
      <c r="B602">
        <v>147.23785400390599</v>
      </c>
      <c r="D602" s="4">
        <v>2.5422766995800705E-2</v>
      </c>
    </row>
    <row r="603" spans="1:4" x14ac:dyDescent="0.35">
      <c r="A603" s="2">
        <v>44699</v>
      </c>
      <c r="B603">
        <v>138.93080139160099</v>
      </c>
      <c r="D603" s="4">
        <v>-5.6419272533574372E-2</v>
      </c>
    </row>
    <row r="604" spans="1:4" x14ac:dyDescent="0.35">
      <c r="A604" s="2">
        <v>44700</v>
      </c>
      <c r="B604">
        <v>135.50735473632801</v>
      </c>
      <c r="D604" s="4">
        <v>-2.4641379888275416E-2</v>
      </c>
    </row>
    <row r="605" spans="1:4" x14ac:dyDescent="0.35">
      <c r="A605" s="2">
        <v>44701</v>
      </c>
      <c r="B605">
        <v>135.74412536621</v>
      </c>
      <c r="D605" s="4">
        <v>1.7472898821078164E-3</v>
      </c>
    </row>
    <row r="606" spans="1:4" x14ac:dyDescent="0.35">
      <c r="A606" s="2">
        <v>44704</v>
      </c>
      <c r="B606">
        <v>141.19007873535099</v>
      </c>
      <c r="D606" s="4">
        <v>4.0119256391014435E-2</v>
      </c>
    </row>
    <row r="607" spans="1:4" x14ac:dyDescent="0.35">
      <c r="A607" s="2">
        <v>44705</v>
      </c>
      <c r="B607">
        <v>138.47697448730401</v>
      </c>
      <c r="D607" s="4">
        <v>-1.921596950967408E-2</v>
      </c>
    </row>
    <row r="608" spans="1:4" x14ac:dyDescent="0.35">
      <c r="A608" s="2">
        <v>44706</v>
      </c>
      <c r="B608">
        <v>138.634841918945</v>
      </c>
      <c r="D608" s="4">
        <v>1.1400265800540765E-3</v>
      </c>
    </row>
    <row r="609" spans="1:4" x14ac:dyDescent="0.35">
      <c r="A609" s="2">
        <v>44707</v>
      </c>
      <c r="B609">
        <v>141.85108947753901</v>
      </c>
      <c r="D609" s="4">
        <v>2.3199417362010921E-2</v>
      </c>
    </row>
    <row r="610" spans="1:4" x14ac:dyDescent="0.35">
      <c r="A610" s="2">
        <v>44708</v>
      </c>
      <c r="B610">
        <v>147.63246154785099</v>
      </c>
      <c r="D610" s="4">
        <v>4.0756627894827924E-2</v>
      </c>
    </row>
    <row r="611" spans="1:4" x14ac:dyDescent="0.35">
      <c r="A611" s="2">
        <v>44712</v>
      </c>
      <c r="B611">
        <v>146.84318542480401</v>
      </c>
      <c r="D611" s="4">
        <v>-5.3462234170712497E-3</v>
      </c>
    </row>
    <row r="612" spans="1:4" x14ac:dyDescent="0.35">
      <c r="A612" s="2">
        <v>44713</v>
      </c>
      <c r="B612">
        <v>146.71493530273401</v>
      </c>
      <c r="D612" s="4">
        <v>-8.7338150353377664E-4</v>
      </c>
    </row>
    <row r="613" spans="1:4" x14ac:dyDescent="0.35">
      <c r="A613" s="2">
        <v>44714</v>
      </c>
      <c r="B613">
        <v>149.18142700195301</v>
      </c>
      <c r="D613" s="4">
        <v>1.6811456135189085E-2</v>
      </c>
    </row>
    <row r="614" spans="1:4" x14ac:dyDescent="0.35">
      <c r="A614" s="2">
        <v>44715</v>
      </c>
      <c r="B614">
        <v>143.429595947265</v>
      </c>
      <c r="D614" s="4">
        <v>-3.8555946073720815E-2</v>
      </c>
    </row>
    <row r="615" spans="1:4" x14ac:dyDescent="0.35">
      <c r="A615" s="2">
        <v>44718</v>
      </c>
      <c r="B615">
        <v>144.179428100585</v>
      </c>
      <c r="D615" s="4">
        <v>5.2278760765365195E-3</v>
      </c>
    </row>
    <row r="616" spans="1:4" x14ac:dyDescent="0.35">
      <c r="A616" s="2">
        <v>44719</v>
      </c>
      <c r="B616">
        <v>146.71493530273401</v>
      </c>
      <c r="D616" s="4">
        <v>1.7585776525484098E-2</v>
      </c>
    </row>
    <row r="617" spans="1:4" x14ac:dyDescent="0.35">
      <c r="A617" s="2">
        <v>44720</v>
      </c>
      <c r="B617">
        <v>145.97499084472599</v>
      </c>
      <c r="D617" s="4">
        <v>-5.0434160399634997E-3</v>
      </c>
    </row>
    <row r="618" spans="1:4" x14ac:dyDescent="0.35">
      <c r="A618" s="2">
        <v>44721</v>
      </c>
      <c r="B618">
        <v>140.72637939453099</v>
      </c>
      <c r="D618" s="4">
        <v>-3.5955552521856005E-2</v>
      </c>
    </row>
    <row r="619" spans="1:4" x14ac:dyDescent="0.35">
      <c r="A619" s="2">
        <v>44722</v>
      </c>
      <c r="B619">
        <v>135.290267944335</v>
      </c>
      <c r="D619" s="4">
        <v>-3.8628944150944755E-2</v>
      </c>
    </row>
    <row r="620" spans="1:4" x14ac:dyDescent="0.35">
      <c r="A620" s="2">
        <v>44725</v>
      </c>
      <c r="B620">
        <v>130.11073303222599</v>
      </c>
      <c r="D620" s="4">
        <v>-3.8284608278254861E-2</v>
      </c>
    </row>
    <row r="621" spans="1:4" x14ac:dyDescent="0.35">
      <c r="A621" s="2">
        <v>44726</v>
      </c>
      <c r="B621">
        <v>130.978912353515</v>
      </c>
      <c r="D621" s="4">
        <v>6.6726187844470264E-3</v>
      </c>
    </row>
    <row r="622" spans="1:4" x14ac:dyDescent="0.35">
      <c r="A622" s="2">
        <v>44727</v>
      </c>
      <c r="B622">
        <v>133.61309814453099</v>
      </c>
      <c r="D622" s="4">
        <v>2.01115259218696E-2</v>
      </c>
    </row>
    <row r="623" spans="1:4" x14ac:dyDescent="0.35">
      <c r="A623" s="2">
        <v>44728</v>
      </c>
      <c r="B623">
        <v>128.31512451171801</v>
      </c>
      <c r="D623" s="4">
        <v>-3.9651603820174075E-2</v>
      </c>
    </row>
    <row r="624" spans="1:4" x14ac:dyDescent="0.35">
      <c r="A624" s="2">
        <v>44729</v>
      </c>
      <c r="B624">
        <v>129.79501342773401</v>
      </c>
      <c r="D624" s="4">
        <v>1.1533238358669484E-2</v>
      </c>
    </row>
    <row r="625" spans="1:4" x14ac:dyDescent="0.35">
      <c r="A625" s="2">
        <v>44733</v>
      </c>
      <c r="B625">
        <v>134.04718017578099</v>
      </c>
      <c r="D625" s="4">
        <v>3.2760632598682005E-2</v>
      </c>
    </row>
    <row r="626" spans="1:4" x14ac:dyDescent="0.35">
      <c r="A626" s="2">
        <v>44734</v>
      </c>
      <c r="B626">
        <v>133.5341796875</v>
      </c>
      <c r="D626" s="4">
        <v>-3.8270143960378311E-3</v>
      </c>
    </row>
    <row r="627" spans="1:4" x14ac:dyDescent="0.35">
      <c r="A627" s="2">
        <v>44735</v>
      </c>
      <c r="B627">
        <v>136.41500854492099</v>
      </c>
      <c r="D627" s="4">
        <v>2.1573718909741135E-2</v>
      </c>
    </row>
    <row r="628" spans="1:4" x14ac:dyDescent="0.35">
      <c r="A628" s="2">
        <v>44736</v>
      </c>
      <c r="B628">
        <v>139.759506225585</v>
      </c>
      <c r="D628" s="4">
        <v>2.4517080021753346E-2</v>
      </c>
    </row>
    <row r="629" spans="1:4" x14ac:dyDescent="0.35">
      <c r="A629" s="2">
        <v>44739</v>
      </c>
      <c r="B629">
        <v>139.759506225585</v>
      </c>
      <c r="D629" s="4">
        <v>0</v>
      </c>
    </row>
    <row r="630" spans="1:4" x14ac:dyDescent="0.35">
      <c r="A630" s="2">
        <v>44740</v>
      </c>
      <c r="B630">
        <v>135.59611511230401</v>
      </c>
      <c r="D630" s="4">
        <v>-2.978968104367008E-2</v>
      </c>
    </row>
    <row r="631" spans="1:4" x14ac:dyDescent="0.35">
      <c r="A631" s="2">
        <v>44741</v>
      </c>
      <c r="B631">
        <v>137.36212158203099</v>
      </c>
      <c r="D631" s="4">
        <v>1.3024019665049735E-2</v>
      </c>
    </row>
    <row r="632" spans="1:4" x14ac:dyDescent="0.35">
      <c r="A632" s="2">
        <v>44742</v>
      </c>
      <c r="B632">
        <v>134.88577270507801</v>
      </c>
      <c r="D632" s="4">
        <v>-1.8027887516822716E-2</v>
      </c>
    </row>
    <row r="633" spans="1:4" x14ac:dyDescent="0.35">
      <c r="A633" s="2">
        <v>44743</v>
      </c>
      <c r="B633">
        <v>137.066146850585</v>
      </c>
      <c r="D633" s="4">
        <v>1.6164596916194318E-2</v>
      </c>
    </row>
    <row r="634" spans="1:4" x14ac:dyDescent="0.35">
      <c r="A634" s="2">
        <v>44747</v>
      </c>
      <c r="B634">
        <v>139.66085815429599</v>
      </c>
      <c r="D634" s="4">
        <v>1.8930358540971248E-2</v>
      </c>
    </row>
    <row r="635" spans="1:4" x14ac:dyDescent="0.35">
      <c r="A635" s="2">
        <v>44748</v>
      </c>
      <c r="B635">
        <v>141.00259399414</v>
      </c>
      <c r="D635" s="4">
        <v>9.6071000678061846E-3</v>
      </c>
    </row>
    <row r="636" spans="1:4" x14ac:dyDescent="0.35">
      <c r="A636" s="2">
        <v>44749</v>
      </c>
      <c r="B636">
        <v>144.38659667968699</v>
      </c>
      <c r="D636" s="4">
        <v>2.3999577523287519E-2</v>
      </c>
    </row>
    <row r="637" spans="1:4" x14ac:dyDescent="0.35">
      <c r="A637" s="2">
        <v>44750</v>
      </c>
      <c r="B637">
        <v>145.06733703613199</v>
      </c>
      <c r="D637" s="4">
        <v>4.7147060191132795E-3</v>
      </c>
    </row>
    <row r="638" spans="1:4" x14ac:dyDescent="0.35">
      <c r="A638" s="2">
        <v>44753</v>
      </c>
      <c r="B638">
        <v>142.92646789550699</v>
      </c>
      <c r="D638" s="4">
        <v>-1.4757761356657184E-2</v>
      </c>
    </row>
    <row r="639" spans="1:4" x14ac:dyDescent="0.35">
      <c r="A639" s="2">
        <v>44754</v>
      </c>
      <c r="B639">
        <v>143.90319824218699</v>
      </c>
      <c r="D639" s="4">
        <v>6.8337961544959747E-3</v>
      </c>
    </row>
    <row r="640" spans="1:4" x14ac:dyDescent="0.35">
      <c r="A640" s="2">
        <v>44755</v>
      </c>
      <c r="B640">
        <v>143.53813171386699</v>
      </c>
      <c r="D640" s="4">
        <v>-2.5368896089827953E-3</v>
      </c>
    </row>
    <row r="641" spans="1:6" x14ac:dyDescent="0.35">
      <c r="A641" s="2">
        <v>44756</v>
      </c>
      <c r="B641">
        <v>146.47816467285099</v>
      </c>
      <c r="D641" s="4">
        <v>2.0482591795501159E-2</v>
      </c>
    </row>
    <row r="642" spans="1:6" x14ac:dyDescent="0.35">
      <c r="A642" s="2">
        <v>44757</v>
      </c>
      <c r="B642">
        <v>148.155349731445</v>
      </c>
      <c r="D642" s="4">
        <v>1.1450068768542376E-2</v>
      </c>
    </row>
    <row r="643" spans="1:6" x14ac:dyDescent="0.35">
      <c r="A643" s="2">
        <v>44760</v>
      </c>
      <c r="B643">
        <v>145.09695434570301</v>
      </c>
      <c r="D643" s="4">
        <v>-2.0643165375302419E-2</v>
      </c>
    </row>
    <row r="644" spans="1:6" x14ac:dyDescent="0.35">
      <c r="A644" s="2">
        <v>44761</v>
      </c>
      <c r="B644">
        <v>148.97422790527301</v>
      </c>
      <c r="D644" s="4">
        <v>2.6721950002700501E-2</v>
      </c>
    </row>
    <row r="645" spans="1:6" x14ac:dyDescent="0.35">
      <c r="A645" s="2">
        <v>44762</v>
      </c>
      <c r="B645">
        <v>150.98684692382801</v>
      </c>
      <c r="D645" s="4">
        <v>1.3509846950405136E-2</v>
      </c>
    </row>
    <row r="646" spans="1:6" x14ac:dyDescent="0.35">
      <c r="A646" s="2">
        <v>44763</v>
      </c>
      <c r="B646">
        <v>153.265853881835</v>
      </c>
      <c r="D646" s="4">
        <v>1.5094076102912135E-2</v>
      </c>
    </row>
    <row r="647" spans="1:6" x14ac:dyDescent="0.35">
      <c r="A647" s="2">
        <v>44764</v>
      </c>
      <c r="B647">
        <v>152.02275085449199</v>
      </c>
      <c r="D647" s="4">
        <v>-8.1107630686051424E-3</v>
      </c>
    </row>
    <row r="648" spans="1:6" x14ac:dyDescent="0.35">
      <c r="A648" s="2">
        <v>44767</v>
      </c>
      <c r="B648">
        <v>150.89807128906199</v>
      </c>
      <c r="D648" s="4">
        <v>-7.3981003442470383E-3</v>
      </c>
    </row>
    <row r="649" spans="1:6" x14ac:dyDescent="0.35">
      <c r="A649" s="2">
        <v>44768</v>
      </c>
      <c r="B649">
        <v>149.566162109375</v>
      </c>
      <c r="D649" s="4">
        <v>-8.8265487312662039E-3</v>
      </c>
      <c r="F649" s="8"/>
    </row>
    <row r="650" spans="1:6" x14ac:dyDescent="0.35">
      <c r="A650" s="2">
        <v>44769</v>
      </c>
      <c r="B650">
        <v>154.68656921386699</v>
      </c>
      <c r="D650" s="4">
        <v>3.4235063815754918E-2</v>
      </c>
    </row>
    <row r="651" spans="1:6" x14ac:dyDescent="0.35">
      <c r="A651" s="2">
        <v>44770</v>
      </c>
      <c r="B651">
        <v>155.23902893066401</v>
      </c>
      <c r="D651" s="4">
        <v>3.5714782453619698E-3</v>
      </c>
    </row>
    <row r="652" spans="1:6" x14ac:dyDescent="0.35">
      <c r="A652" s="2">
        <v>44771</v>
      </c>
      <c r="B652">
        <v>160.32978820800699</v>
      </c>
      <c r="D652" s="4">
        <v>3.2793037372172096E-2</v>
      </c>
    </row>
    <row r="653" spans="1:6" x14ac:dyDescent="0.35">
      <c r="A653" s="2">
        <v>44774</v>
      </c>
      <c r="B653">
        <v>159.34323120117099</v>
      </c>
      <c r="D653" s="4">
        <v>-6.1532982601839592E-3</v>
      </c>
    </row>
    <row r="654" spans="1:6" x14ac:dyDescent="0.35">
      <c r="A654" s="2">
        <v>44775</v>
      </c>
      <c r="B654">
        <v>157.86334228515599</v>
      </c>
      <c r="D654" s="4">
        <v>-9.2874288092390511E-3</v>
      </c>
    </row>
    <row r="655" spans="1:6" x14ac:dyDescent="0.35">
      <c r="A655" s="2">
        <v>44776</v>
      </c>
      <c r="B655">
        <v>163.90122985839801</v>
      </c>
      <c r="D655" s="4">
        <v>3.8247559476699111E-2</v>
      </c>
    </row>
    <row r="656" spans="1:6" x14ac:dyDescent="0.35">
      <c r="A656" s="2">
        <v>44777</v>
      </c>
      <c r="B656">
        <v>163.58554077148401</v>
      </c>
      <c r="D656" s="4">
        <v>-1.9260934599865109E-3</v>
      </c>
    </row>
    <row r="657" spans="1:4" x14ac:dyDescent="0.35">
      <c r="A657" s="2">
        <v>44778</v>
      </c>
      <c r="B657">
        <v>163.35829162597599</v>
      </c>
      <c r="D657" s="4">
        <v>-1.3891762342581604E-3</v>
      </c>
    </row>
    <row r="658" spans="1:4" x14ac:dyDescent="0.35">
      <c r="A658" s="2">
        <v>44781</v>
      </c>
      <c r="B658">
        <v>162.88406372070301</v>
      </c>
      <c r="D658" s="4">
        <v>-2.9029925604191487E-3</v>
      </c>
    </row>
    <row r="659" spans="1:4" x14ac:dyDescent="0.35">
      <c r="A659" s="2">
        <v>44782</v>
      </c>
      <c r="B659">
        <v>162.933502197265</v>
      </c>
      <c r="D659" s="4">
        <v>3.0351942008732813E-4</v>
      </c>
    </row>
    <row r="660" spans="1:4" x14ac:dyDescent="0.35">
      <c r="A660" s="2">
        <v>44783</v>
      </c>
      <c r="B660">
        <v>167.20146179199199</v>
      </c>
      <c r="D660" s="4">
        <v>2.6194487549649148E-2</v>
      </c>
    </row>
    <row r="661" spans="1:4" x14ac:dyDescent="0.35">
      <c r="A661" s="2">
        <v>44784</v>
      </c>
      <c r="B661">
        <v>166.46047973632801</v>
      </c>
      <c r="D661" s="4">
        <v>-4.4316721141218762E-3</v>
      </c>
    </row>
    <row r="662" spans="1:4" x14ac:dyDescent="0.35">
      <c r="A662" s="2">
        <v>44785</v>
      </c>
      <c r="B662">
        <v>170.02697753906199</v>
      </c>
      <c r="D662" s="4">
        <v>2.142549275589789E-2</v>
      </c>
    </row>
    <row r="663" spans="1:4" x14ac:dyDescent="0.35">
      <c r="A663" s="2">
        <v>44788</v>
      </c>
      <c r="B663">
        <v>171.10386657714801</v>
      </c>
      <c r="D663" s="4">
        <v>6.333636306853796E-3</v>
      </c>
    </row>
    <row r="664" spans="1:4" x14ac:dyDescent="0.35">
      <c r="A664" s="2">
        <v>44789</v>
      </c>
      <c r="B664">
        <v>170.94578552246</v>
      </c>
      <c r="D664" s="4">
        <v>-9.2388943540755442E-4</v>
      </c>
    </row>
    <row r="665" spans="1:4" x14ac:dyDescent="0.35">
      <c r="A665" s="2">
        <v>44790</v>
      </c>
      <c r="B665">
        <v>172.447494506835</v>
      </c>
      <c r="D665" s="4">
        <v>8.7847090221344626E-3</v>
      </c>
    </row>
    <row r="666" spans="1:4" x14ac:dyDescent="0.35">
      <c r="A666" s="2">
        <v>44791</v>
      </c>
      <c r="B666">
        <v>172.05229187011699</v>
      </c>
      <c r="D666" s="4">
        <v>-2.2917273332860866E-3</v>
      </c>
    </row>
    <row r="667" spans="1:4" x14ac:dyDescent="0.35">
      <c r="A667" s="2">
        <v>44792</v>
      </c>
      <c r="B667">
        <v>169.45397949218699</v>
      </c>
      <c r="D667" s="4">
        <v>-1.510187600343893E-2</v>
      </c>
    </row>
    <row r="668" spans="1:4" x14ac:dyDescent="0.35">
      <c r="A668" s="2">
        <v>44795</v>
      </c>
      <c r="B668">
        <v>165.55154418945301</v>
      </c>
      <c r="D668" s="4">
        <v>-2.3029469797219537E-2</v>
      </c>
    </row>
    <row r="669" spans="1:4" x14ac:dyDescent="0.35">
      <c r="A669" s="2">
        <v>44796</v>
      </c>
      <c r="B669">
        <v>165.21563720703099</v>
      </c>
      <c r="D669" s="4">
        <v>-2.02901751274287E-3</v>
      </c>
    </row>
    <row r="670" spans="1:4" x14ac:dyDescent="0.35">
      <c r="A670" s="2">
        <v>44797</v>
      </c>
      <c r="B670">
        <v>165.51202392578099</v>
      </c>
      <c r="D670" s="4">
        <v>1.7939386595628992E-3</v>
      </c>
    </row>
    <row r="671" spans="1:4" x14ac:dyDescent="0.35">
      <c r="A671" s="2">
        <v>44798</v>
      </c>
      <c r="B671">
        <v>167.98191833496</v>
      </c>
      <c r="D671" s="4">
        <v>1.4922749118738032E-2</v>
      </c>
    </row>
    <row r="672" spans="1:4" x14ac:dyDescent="0.35">
      <c r="A672" s="2">
        <v>44799</v>
      </c>
      <c r="B672">
        <v>161.64913940429599</v>
      </c>
      <c r="D672" s="4">
        <v>-3.7699170204952059E-2</v>
      </c>
    </row>
    <row r="673" spans="1:4" x14ac:dyDescent="0.35">
      <c r="A673" s="2">
        <v>44802</v>
      </c>
      <c r="B673">
        <v>159.43609619140599</v>
      </c>
      <c r="D673" s="4">
        <v>-1.3690411350443465E-2</v>
      </c>
    </row>
    <row r="674" spans="1:4" x14ac:dyDescent="0.35">
      <c r="A674" s="2">
        <v>44803</v>
      </c>
      <c r="B674">
        <v>156.99586486816401</v>
      </c>
      <c r="D674" s="4">
        <v>-1.5305388061637171E-2</v>
      </c>
    </row>
    <row r="675" spans="1:4" x14ac:dyDescent="0.35">
      <c r="A675" s="2">
        <v>44804</v>
      </c>
      <c r="B675">
        <v>155.32621765136699</v>
      </c>
      <c r="D675" s="4">
        <v>-1.0634975756839804E-2</v>
      </c>
    </row>
    <row r="676" spans="1:4" x14ac:dyDescent="0.35">
      <c r="A676" s="2">
        <v>44805</v>
      </c>
      <c r="B676">
        <v>156.05731201171801</v>
      </c>
      <c r="D676" s="4">
        <v>4.706831669538003E-3</v>
      </c>
    </row>
    <row r="677" spans="1:4" x14ac:dyDescent="0.35">
      <c r="A677" s="2">
        <v>44806</v>
      </c>
      <c r="B677">
        <v>153.93321228027301</v>
      </c>
      <c r="D677" s="4">
        <v>-1.3611023437886116E-2</v>
      </c>
    </row>
    <row r="678" spans="1:4" x14ac:dyDescent="0.35">
      <c r="A678" s="2">
        <v>44810</v>
      </c>
      <c r="B678">
        <v>152.66862487792901</v>
      </c>
      <c r="D678" s="4">
        <v>-8.2151693166873097E-3</v>
      </c>
    </row>
    <row r="679" spans="1:4" x14ac:dyDescent="0.35">
      <c r="A679" s="2">
        <v>44811</v>
      </c>
      <c r="B679">
        <v>154.08142089843699</v>
      </c>
      <c r="D679" s="4">
        <v>9.2540037066399794E-3</v>
      </c>
    </row>
    <row r="680" spans="1:4" x14ac:dyDescent="0.35">
      <c r="A680" s="2">
        <v>44812</v>
      </c>
      <c r="B680">
        <v>152.59945678710901</v>
      </c>
      <c r="D680" s="4">
        <v>-9.6180584439496952E-3</v>
      </c>
    </row>
    <row r="681" spans="1:4" x14ac:dyDescent="0.35">
      <c r="A681" s="2">
        <v>44813</v>
      </c>
      <c r="B681">
        <v>155.47444152832</v>
      </c>
      <c r="D681" s="4">
        <v>1.8840071922548773E-2</v>
      </c>
    </row>
    <row r="682" spans="1:4" x14ac:dyDescent="0.35">
      <c r="A682" s="2">
        <v>44816</v>
      </c>
      <c r="B682">
        <v>161.46144104003901</v>
      </c>
      <c r="D682" s="4">
        <v>3.8507933862740096E-2</v>
      </c>
    </row>
    <row r="683" spans="1:4" x14ac:dyDescent="0.35">
      <c r="A683" s="2">
        <v>44817</v>
      </c>
      <c r="B683">
        <v>151.98693847656199</v>
      </c>
      <c r="D683" s="4">
        <v>-5.8679660620194363E-2</v>
      </c>
    </row>
    <row r="684" spans="1:4" x14ac:dyDescent="0.35">
      <c r="A684" s="2">
        <v>44818</v>
      </c>
      <c r="B684">
        <v>153.43923950195301</v>
      </c>
      <c r="D684" s="4">
        <v>9.5554331177938323E-3</v>
      </c>
    </row>
    <row r="685" spans="1:4" x14ac:dyDescent="0.35">
      <c r="A685" s="2">
        <v>44819</v>
      </c>
      <c r="B685">
        <v>150.53463745117099</v>
      </c>
      <c r="D685" s="4">
        <v>-1.8929982058110029E-2</v>
      </c>
    </row>
    <row r="686" spans="1:4" x14ac:dyDescent="0.35">
      <c r="A686" s="2">
        <v>44820</v>
      </c>
      <c r="B686">
        <v>148.88478088378901</v>
      </c>
      <c r="D686" s="4">
        <v>-1.0959979678545118E-2</v>
      </c>
    </row>
    <row r="687" spans="1:4" x14ac:dyDescent="0.35">
      <c r="A687" s="2">
        <v>44823</v>
      </c>
      <c r="B687">
        <v>152.61924743652301</v>
      </c>
      <c r="D687" s="4">
        <v>2.5082930105857715E-2</v>
      </c>
    </row>
    <row r="688" spans="1:4" x14ac:dyDescent="0.35">
      <c r="A688" s="2">
        <v>44824</v>
      </c>
      <c r="B688">
        <v>155.01007080078099</v>
      </c>
      <c r="D688" s="4">
        <v>1.5665280784799895E-2</v>
      </c>
    </row>
    <row r="689" spans="1:4" x14ac:dyDescent="0.35">
      <c r="A689" s="2">
        <v>44825</v>
      </c>
      <c r="B689">
        <v>151.86837768554599</v>
      </c>
      <c r="D689" s="4">
        <v>-2.0267670990697817E-2</v>
      </c>
    </row>
    <row r="690" spans="1:4" x14ac:dyDescent="0.35">
      <c r="A690" s="2">
        <v>44826</v>
      </c>
      <c r="B690">
        <v>150.90022277832</v>
      </c>
      <c r="D690" s="4">
        <v>-6.3749604886846889E-3</v>
      </c>
    </row>
    <row r="691" spans="1:4" x14ac:dyDescent="0.35">
      <c r="A691" s="2">
        <v>44827</v>
      </c>
      <c r="B691">
        <v>148.61799621582</v>
      </c>
      <c r="D691" s="4">
        <v>-1.5124076826928956E-2</v>
      </c>
    </row>
    <row r="692" spans="1:4" x14ac:dyDescent="0.35">
      <c r="A692" s="2">
        <v>44830</v>
      </c>
      <c r="B692">
        <v>148.95391845703099</v>
      </c>
      <c r="D692" s="4">
        <v>2.2603066234534452E-3</v>
      </c>
    </row>
    <row r="693" spans="1:4" x14ac:dyDescent="0.35">
      <c r="A693" s="2">
        <v>44831</v>
      </c>
      <c r="B693">
        <v>149.93197631835901</v>
      </c>
      <c r="D693" s="4">
        <v>6.5661774558158914E-3</v>
      </c>
    </row>
    <row r="694" spans="1:4" x14ac:dyDescent="0.35">
      <c r="A694" s="2">
        <v>44832</v>
      </c>
      <c r="B694">
        <v>148.03512573242099</v>
      </c>
      <c r="D694" s="4">
        <v>-1.2651407875197473E-2</v>
      </c>
    </row>
    <row r="695" spans="1:4" x14ac:dyDescent="0.35">
      <c r="A695" s="2">
        <v>44833</v>
      </c>
      <c r="B695">
        <v>140.76377868652301</v>
      </c>
      <c r="D695" s="4">
        <v>-4.911906555908363E-2</v>
      </c>
    </row>
    <row r="696" spans="1:4" x14ac:dyDescent="0.35">
      <c r="A696" s="2">
        <v>44834</v>
      </c>
      <c r="B696">
        <v>136.53532409667901</v>
      </c>
      <c r="D696" s="4">
        <v>-3.0039365448271016E-2</v>
      </c>
    </row>
    <row r="697" spans="1:4" x14ac:dyDescent="0.35">
      <c r="A697" s="2">
        <v>44837</v>
      </c>
      <c r="B697">
        <v>140.73414611816401</v>
      </c>
      <c r="D697" s="4">
        <v>3.0752642579966016E-2</v>
      </c>
    </row>
    <row r="698" spans="1:4" x14ac:dyDescent="0.35">
      <c r="A698" s="2">
        <v>44838</v>
      </c>
      <c r="B698">
        <v>144.34017944335901</v>
      </c>
      <c r="D698" s="4">
        <v>2.5623016337252613E-2</v>
      </c>
    </row>
    <row r="699" spans="1:4" x14ac:dyDescent="0.35">
      <c r="A699" s="2">
        <v>44839</v>
      </c>
      <c r="B699">
        <v>144.63653564453099</v>
      </c>
      <c r="D699" s="4">
        <v>2.0531788329132272E-3</v>
      </c>
    </row>
    <row r="700" spans="1:4" x14ac:dyDescent="0.35">
      <c r="A700" s="2">
        <v>44840</v>
      </c>
      <c r="B700">
        <v>143.67822265625</v>
      </c>
      <c r="D700" s="4">
        <v>-6.6256633153618516E-3</v>
      </c>
    </row>
    <row r="701" spans="1:4" x14ac:dyDescent="0.35">
      <c r="A701" s="2">
        <v>44841</v>
      </c>
      <c r="B701">
        <v>138.40255737304599</v>
      </c>
      <c r="D701" s="4">
        <v>-3.6718614593570176E-2</v>
      </c>
    </row>
    <row r="702" spans="1:4" x14ac:dyDescent="0.35">
      <c r="A702" s="2">
        <v>44844</v>
      </c>
      <c r="B702">
        <v>138.72856140136699</v>
      </c>
      <c r="D702" s="4">
        <v>2.3554769110392115E-3</v>
      </c>
    </row>
    <row r="703" spans="1:4" x14ac:dyDescent="0.35">
      <c r="A703" s="2">
        <v>44845</v>
      </c>
      <c r="B703">
        <v>137.30592346191401</v>
      </c>
      <c r="D703" s="4">
        <v>-1.0254830909238843E-2</v>
      </c>
    </row>
    <row r="704" spans="1:4" x14ac:dyDescent="0.35">
      <c r="A704" s="2">
        <v>44846</v>
      </c>
      <c r="B704">
        <v>136.67364501953099</v>
      </c>
      <c r="D704" s="4">
        <v>-4.6048883139291341E-3</v>
      </c>
    </row>
    <row r="705" spans="1:4" x14ac:dyDescent="0.35">
      <c r="A705" s="2">
        <v>44847</v>
      </c>
      <c r="B705">
        <v>141.26763916015599</v>
      </c>
      <c r="D705" s="4">
        <v>3.3612874961873596E-2</v>
      </c>
    </row>
    <row r="706" spans="1:4" x14ac:dyDescent="0.35">
      <c r="A706" s="2">
        <v>44848</v>
      </c>
      <c r="B706">
        <v>136.71318054199199</v>
      </c>
      <c r="D706" s="4">
        <v>-3.2239928728479583E-2</v>
      </c>
    </row>
    <row r="707" spans="1:4" x14ac:dyDescent="0.35">
      <c r="A707" s="2">
        <v>44851</v>
      </c>
      <c r="B707">
        <v>140.69462585449199</v>
      </c>
      <c r="D707" s="4">
        <v>2.9122614927951984E-2</v>
      </c>
    </row>
    <row r="708" spans="1:4" x14ac:dyDescent="0.35">
      <c r="A708" s="2">
        <v>44852</v>
      </c>
      <c r="B708">
        <v>142.018463134765</v>
      </c>
      <c r="D708" s="4">
        <v>9.409295289232622E-3</v>
      </c>
    </row>
    <row r="709" spans="1:4" x14ac:dyDescent="0.35">
      <c r="A709" s="2">
        <v>44853</v>
      </c>
      <c r="B709">
        <v>142.12715148925699</v>
      </c>
      <c r="D709" s="4">
        <v>7.6531143974456484E-4</v>
      </c>
    </row>
    <row r="710" spans="1:4" x14ac:dyDescent="0.35">
      <c r="A710" s="2">
        <v>44854</v>
      </c>
      <c r="B710">
        <v>141.662826538085</v>
      </c>
      <c r="D710" s="4">
        <v>-3.2669686707053058E-3</v>
      </c>
    </row>
    <row r="711" spans="1:4" x14ac:dyDescent="0.35">
      <c r="A711" s="2">
        <v>44855</v>
      </c>
      <c r="B711">
        <v>145.49607849121</v>
      </c>
      <c r="D711" s="4">
        <v>2.7058982563040068E-2</v>
      </c>
    </row>
    <row r="712" spans="1:4" x14ac:dyDescent="0.35">
      <c r="A712" s="2">
        <v>44858</v>
      </c>
      <c r="B712">
        <v>147.64982604980401</v>
      </c>
      <c r="D712" s="4">
        <v>1.4802787682859142E-2</v>
      </c>
    </row>
    <row r="713" spans="1:4" x14ac:dyDescent="0.35">
      <c r="A713" s="2">
        <v>44859</v>
      </c>
      <c r="B713">
        <v>150.50500488281199</v>
      </c>
      <c r="D713" s="4">
        <v>1.9337502179277211E-2</v>
      </c>
    </row>
    <row r="714" spans="1:4" x14ac:dyDescent="0.35">
      <c r="A714" s="2">
        <v>44860</v>
      </c>
      <c r="B714">
        <v>147.55105590820301</v>
      </c>
      <c r="D714" s="4">
        <v>-1.9626915243841969E-2</v>
      </c>
    </row>
    <row r="715" spans="1:4" x14ac:dyDescent="0.35">
      <c r="A715" s="2">
        <v>44861</v>
      </c>
      <c r="B715">
        <v>143.05583190917901</v>
      </c>
      <c r="D715" s="4">
        <v>-3.0465549509999135E-2</v>
      </c>
    </row>
    <row r="716" spans="1:4" x14ac:dyDescent="0.35">
      <c r="A716" s="2">
        <v>44862</v>
      </c>
      <c r="B716">
        <v>153.86405944824199</v>
      </c>
      <c r="D716" s="4">
        <v>7.5552512573725306E-2</v>
      </c>
    </row>
    <row r="717" spans="1:4" x14ac:dyDescent="0.35">
      <c r="A717" s="2">
        <v>44865</v>
      </c>
      <c r="B717">
        <v>151.49295043945301</v>
      </c>
      <c r="D717" s="4">
        <v>-1.5410414994195487E-2</v>
      </c>
    </row>
    <row r="718" spans="1:4" x14ac:dyDescent="0.35">
      <c r="A718" s="2">
        <v>44866</v>
      </c>
      <c r="B718">
        <v>148.835357666015</v>
      </c>
      <c r="D718" s="4">
        <v>-1.7542682783118435E-2</v>
      </c>
    </row>
    <row r="719" spans="1:4" x14ac:dyDescent="0.35">
      <c r="A719" s="2">
        <v>44867</v>
      </c>
      <c r="B719">
        <v>143.28309631347599</v>
      </c>
      <c r="D719" s="4">
        <v>-3.730472005851071E-2</v>
      </c>
    </row>
    <row r="720" spans="1:4" x14ac:dyDescent="0.35">
      <c r="A720" s="2">
        <v>44868</v>
      </c>
      <c r="B720">
        <v>137.20715332031199</v>
      </c>
      <c r="D720" s="4">
        <v>-4.2405162573197042E-2</v>
      </c>
    </row>
    <row r="721" spans="1:4" x14ac:dyDescent="0.35">
      <c r="A721" s="2">
        <v>44869</v>
      </c>
      <c r="B721">
        <v>136.93995666503901</v>
      </c>
      <c r="D721" s="4">
        <v>-1.9473959542707364E-3</v>
      </c>
    </row>
    <row r="722" spans="1:4" x14ac:dyDescent="0.35">
      <c r="A722" s="2">
        <v>44872</v>
      </c>
      <c r="B722">
        <v>137.47433471679599</v>
      </c>
      <c r="D722" s="4">
        <v>3.9022799829278032E-3</v>
      </c>
    </row>
    <row r="723" spans="1:4" x14ac:dyDescent="0.35">
      <c r="A723" s="2">
        <v>44873</v>
      </c>
      <c r="B723">
        <v>138.04827880859301</v>
      </c>
      <c r="D723" s="4">
        <v>4.1749181254768786E-3</v>
      </c>
    </row>
    <row r="724" spans="1:4" x14ac:dyDescent="0.35">
      <c r="A724" s="2">
        <v>44874</v>
      </c>
      <c r="B724">
        <v>133.46647644042901</v>
      </c>
      <c r="D724" s="4">
        <v>-3.318985508335659E-2</v>
      </c>
    </row>
    <row r="725" spans="1:4" x14ac:dyDescent="0.35">
      <c r="A725" s="2">
        <v>44875</v>
      </c>
      <c r="B725">
        <v>145.34159851074199</v>
      </c>
      <c r="D725" s="4">
        <v>8.8974567899178014E-2</v>
      </c>
    </row>
    <row r="726" spans="1:4" x14ac:dyDescent="0.35">
      <c r="A726" s="2">
        <v>44876</v>
      </c>
      <c r="B726">
        <v>148.14215087890599</v>
      </c>
      <c r="D726" s="4">
        <v>1.9268759920491929E-2</v>
      </c>
    </row>
    <row r="727" spans="1:4" x14ac:dyDescent="0.35">
      <c r="A727" s="2">
        <v>44879</v>
      </c>
      <c r="B727">
        <v>146.73690795898401</v>
      </c>
      <c r="D727" s="4">
        <v>-9.4857737084610427E-3</v>
      </c>
    </row>
    <row r="728" spans="1:4" x14ac:dyDescent="0.35">
      <c r="A728" s="2">
        <v>44880</v>
      </c>
      <c r="B728">
        <v>148.478591918945</v>
      </c>
      <c r="D728" s="4">
        <v>1.1869433424669396E-2</v>
      </c>
    </row>
    <row r="729" spans="1:4" x14ac:dyDescent="0.35">
      <c r="A729" s="2">
        <v>44881</v>
      </c>
      <c r="B729">
        <v>147.241607666015</v>
      </c>
      <c r="D729" s="4">
        <v>-8.3310613129014E-3</v>
      </c>
    </row>
    <row r="730" spans="1:4" x14ac:dyDescent="0.35">
      <c r="A730" s="2">
        <v>44882</v>
      </c>
      <c r="B730">
        <v>149.15151977539</v>
      </c>
      <c r="D730" s="4">
        <v>1.2971279923180479E-2</v>
      </c>
    </row>
    <row r="731" spans="1:4" x14ac:dyDescent="0.35">
      <c r="A731" s="2">
        <v>44883</v>
      </c>
      <c r="B731">
        <v>149.71560668945301</v>
      </c>
      <c r="D731" s="4">
        <v>3.7819722850460646E-3</v>
      </c>
    </row>
    <row r="732" spans="1:4" x14ac:dyDescent="0.35">
      <c r="A732" s="2">
        <v>44886</v>
      </c>
      <c r="B732">
        <v>146.46975708007801</v>
      </c>
      <c r="D732" s="4">
        <v>-2.1680101902186388E-2</v>
      </c>
    </row>
    <row r="733" spans="1:4" x14ac:dyDescent="0.35">
      <c r="A733" s="2">
        <v>44887</v>
      </c>
      <c r="B733">
        <v>148.61714172363199</v>
      </c>
      <c r="D733" s="4">
        <v>1.4660942206519589E-2</v>
      </c>
    </row>
    <row r="734" spans="1:4" x14ac:dyDescent="0.35">
      <c r="A734" s="2">
        <v>44888</v>
      </c>
      <c r="B734">
        <v>149.49790954589801</v>
      </c>
      <c r="D734" s="4">
        <v>5.9264214884706679E-3</v>
      </c>
    </row>
    <row r="735" spans="1:4" x14ac:dyDescent="0.35">
      <c r="A735" s="2">
        <v>44890</v>
      </c>
      <c r="B735">
        <v>146.56871032714801</v>
      </c>
      <c r="D735" s="4">
        <v>-1.9593579787486548E-2</v>
      </c>
    </row>
    <row r="736" spans="1:4" x14ac:dyDescent="0.35">
      <c r="A736" s="2">
        <v>44893</v>
      </c>
      <c r="B736">
        <v>142.71917724609301</v>
      </c>
      <c r="D736" s="4">
        <v>-2.6264358009718936E-2</v>
      </c>
    </row>
    <row r="737" spans="1:4" x14ac:dyDescent="0.35">
      <c r="A737" s="2">
        <v>44894</v>
      </c>
      <c r="B737">
        <v>139.700912475585</v>
      </c>
      <c r="D737" s="4">
        <v>-2.1148277538789118E-2</v>
      </c>
    </row>
    <row r="738" spans="1:4" x14ac:dyDescent="0.35">
      <c r="A738" s="2">
        <v>44895</v>
      </c>
      <c r="B738">
        <v>146.48953247070301</v>
      </c>
      <c r="D738" s="4">
        <v>4.8593956008014194E-2</v>
      </c>
    </row>
    <row r="739" spans="1:4" x14ac:dyDescent="0.35">
      <c r="A739" s="2">
        <v>44896</v>
      </c>
      <c r="B739">
        <v>146.7666015625</v>
      </c>
      <c r="D739" s="4">
        <v>1.8913917405831704E-3</v>
      </c>
    </row>
    <row r="740" spans="1:4" x14ac:dyDescent="0.35">
      <c r="A740" s="2">
        <v>44897</v>
      </c>
      <c r="B740">
        <v>146.27180480957</v>
      </c>
      <c r="D740" s="4">
        <v>-3.371317095731019E-3</v>
      </c>
    </row>
    <row r="741" spans="1:4" x14ac:dyDescent="0.35">
      <c r="A741" s="2">
        <v>44900</v>
      </c>
      <c r="B741">
        <v>145.10411071777301</v>
      </c>
      <c r="D741" s="4">
        <v>-7.9830428927653019E-3</v>
      </c>
    </row>
    <row r="742" spans="1:4" x14ac:dyDescent="0.35">
      <c r="A742" s="2">
        <v>44901</v>
      </c>
      <c r="B742">
        <v>141.42280578613199</v>
      </c>
      <c r="D742" s="4">
        <v>-2.5370094020293776E-2</v>
      </c>
    </row>
    <row r="743" spans="1:4" x14ac:dyDescent="0.35">
      <c r="A743" s="2">
        <v>44902</v>
      </c>
      <c r="B743">
        <v>139.47329711914</v>
      </c>
      <c r="D743" s="4">
        <v>-1.3784966690168377E-2</v>
      </c>
    </row>
    <row r="744" spans="1:4" x14ac:dyDescent="0.35">
      <c r="A744" s="2">
        <v>44903</v>
      </c>
      <c r="B744">
        <v>141.16552734375</v>
      </c>
      <c r="D744" s="4">
        <v>1.2133005095337213E-2</v>
      </c>
    </row>
    <row r="745" spans="1:4" x14ac:dyDescent="0.35">
      <c r="A745" s="2">
        <v>44904</v>
      </c>
      <c r="B745">
        <v>140.68061828613199</v>
      </c>
      <c r="D745" s="4">
        <v>-3.4350387572825714E-3</v>
      </c>
    </row>
    <row r="746" spans="1:4" x14ac:dyDescent="0.35">
      <c r="A746" s="2">
        <v>44907</v>
      </c>
      <c r="B746">
        <v>142.98634338378901</v>
      </c>
      <c r="D746" s="4">
        <v>1.6389785073074981E-2</v>
      </c>
    </row>
    <row r="747" spans="1:4" x14ac:dyDescent="0.35">
      <c r="A747" s="2">
        <v>44908</v>
      </c>
      <c r="B747">
        <v>143.95616149902301</v>
      </c>
      <c r="D747" s="4">
        <v>6.7825926048818985E-3</v>
      </c>
    </row>
    <row r="748" spans="1:4" x14ac:dyDescent="0.35">
      <c r="A748" s="2">
        <v>44909</v>
      </c>
      <c r="B748">
        <v>141.71966552734301</v>
      </c>
      <c r="D748" s="4">
        <v>-1.5535951698011696E-2</v>
      </c>
    </row>
    <row r="749" spans="1:4" x14ac:dyDescent="0.35">
      <c r="A749" s="2">
        <v>44910</v>
      </c>
      <c r="B749">
        <v>135.07952880859301</v>
      </c>
      <c r="D749" s="4">
        <v>-4.6854024768135494E-2</v>
      </c>
    </row>
    <row r="750" spans="1:4" x14ac:dyDescent="0.35">
      <c r="A750" s="2">
        <v>44911</v>
      </c>
      <c r="B750">
        <v>133.11024475097599</v>
      </c>
      <c r="D750" s="4">
        <v>-1.4578700969615332E-2</v>
      </c>
    </row>
    <row r="751" spans="1:4" x14ac:dyDescent="0.35">
      <c r="A751" s="2">
        <v>44914</v>
      </c>
      <c r="B751">
        <v>130.99249267578099</v>
      </c>
      <c r="D751" s="4">
        <v>-1.5909760207840629E-2</v>
      </c>
    </row>
    <row r="752" spans="1:4" x14ac:dyDescent="0.35">
      <c r="A752" s="2">
        <v>44915</v>
      </c>
      <c r="B752">
        <v>130.92321777343699</v>
      </c>
      <c r="D752" s="4">
        <v>-5.288463554584677E-4</v>
      </c>
    </row>
    <row r="753" spans="1:7" x14ac:dyDescent="0.35">
      <c r="A753" s="2">
        <v>44916</v>
      </c>
      <c r="B753">
        <v>134.04046630859301</v>
      </c>
      <c r="D753" s="4">
        <v>2.3809745804983518E-2</v>
      </c>
    </row>
    <row r="754" spans="1:7" x14ac:dyDescent="0.35">
      <c r="A754" s="2">
        <v>44917</v>
      </c>
      <c r="B754">
        <v>130.85392761230401</v>
      </c>
      <c r="D754" s="4">
        <v>-2.3772960390579634E-2</v>
      </c>
    </row>
    <row r="755" spans="1:7" x14ac:dyDescent="0.35">
      <c r="A755" s="2">
        <v>44918</v>
      </c>
      <c r="B755">
        <v>130.48779296875</v>
      </c>
      <c r="D755" s="4">
        <v>-2.7980409165767606E-3</v>
      </c>
      <c r="F755" s="9"/>
      <c r="G755" s="5"/>
    </row>
    <row r="756" spans="1:7" x14ac:dyDescent="0.35">
      <c r="A756" s="2">
        <v>44922</v>
      </c>
      <c r="B756">
        <v>128.67684936523401</v>
      </c>
      <c r="D756" s="4">
        <v>-1.3878260658065411E-2</v>
      </c>
    </row>
    <row r="757" spans="1:7" x14ac:dyDescent="0.35">
      <c r="A757" s="2">
        <v>44923</v>
      </c>
      <c r="B757">
        <v>124.728370666503</v>
      </c>
      <c r="D757" s="4">
        <v>-3.0685229846774686E-2</v>
      </c>
    </row>
    <row r="758" spans="1:7" x14ac:dyDescent="0.35">
      <c r="A758" s="2">
        <v>44924</v>
      </c>
      <c r="B758">
        <v>128.26121520996</v>
      </c>
      <c r="D758" s="4">
        <v>2.8324306046641823E-2</v>
      </c>
    </row>
    <row r="759" spans="1:7" x14ac:dyDescent="0.35">
      <c r="A759" s="2">
        <v>44925</v>
      </c>
      <c r="B759">
        <v>128.577880859375</v>
      </c>
      <c r="D759" s="4">
        <v>2.468911969192078E-3</v>
      </c>
    </row>
    <row r="760" spans="1:7" x14ac:dyDescent="0.35">
      <c r="A760" s="2">
        <v>44929</v>
      </c>
      <c r="B760">
        <v>123.76845550537099</v>
      </c>
      <c r="D760" s="4">
        <v>-3.7404764504277765E-2</v>
      </c>
    </row>
    <row r="761" spans="1:7" x14ac:dyDescent="0.35">
      <c r="A761" s="2">
        <v>44930</v>
      </c>
      <c r="B761">
        <v>125.045028686523</v>
      </c>
      <c r="D761" s="4">
        <v>1.0314204664989113E-2</v>
      </c>
    </row>
    <row r="762" spans="1:7" x14ac:dyDescent="0.35">
      <c r="A762" s="2">
        <v>44931</v>
      </c>
      <c r="B762">
        <v>123.71898651123</v>
      </c>
      <c r="D762" s="4">
        <v>-1.0604517342446829E-2</v>
      </c>
    </row>
    <row r="763" spans="1:7" x14ac:dyDescent="0.35">
      <c r="A763" s="2">
        <v>44932</v>
      </c>
      <c r="B763">
        <v>128.27110290527301</v>
      </c>
      <c r="D763" s="4">
        <v>3.6794000035150765E-2</v>
      </c>
    </row>
    <row r="764" spans="1:7" x14ac:dyDescent="0.35">
      <c r="A764" s="2">
        <v>44935</v>
      </c>
      <c r="B764">
        <v>128.79557800292901</v>
      </c>
      <c r="D764" s="4">
        <v>4.0888016535050031E-3</v>
      </c>
    </row>
    <row r="765" spans="1:7" x14ac:dyDescent="0.35">
      <c r="A765" s="2">
        <v>44936</v>
      </c>
      <c r="B765">
        <v>129.36956787109301</v>
      </c>
      <c r="D765" s="4">
        <v>4.4565960808915506E-3</v>
      </c>
    </row>
    <row r="766" spans="1:7" x14ac:dyDescent="0.35">
      <c r="A766" s="2">
        <v>44937</v>
      </c>
      <c r="B766">
        <v>132.10087585449199</v>
      </c>
      <c r="D766" s="4">
        <v>2.1112445750151476E-2</v>
      </c>
    </row>
    <row r="767" spans="1:7" x14ac:dyDescent="0.35">
      <c r="A767" s="2">
        <v>44938</v>
      </c>
      <c r="B767">
        <v>132.02169799804599</v>
      </c>
      <c r="D767" s="4">
        <v>-5.9937419743683051E-4</v>
      </c>
    </row>
    <row r="768" spans="1:7" x14ac:dyDescent="0.35">
      <c r="A768" s="2">
        <v>44939</v>
      </c>
      <c r="B768">
        <v>133.35762023925699</v>
      </c>
      <c r="D768" s="4">
        <v>1.011895969729748E-2</v>
      </c>
    </row>
    <row r="769" spans="1:4" x14ac:dyDescent="0.35">
      <c r="A769" s="2">
        <v>44943</v>
      </c>
      <c r="B769">
        <v>134.52534484863199</v>
      </c>
      <c r="D769" s="4">
        <v>8.7563395873440086E-3</v>
      </c>
    </row>
    <row r="770" spans="1:4" x14ac:dyDescent="0.35">
      <c r="A770" s="2">
        <v>44944</v>
      </c>
      <c r="B770">
        <v>133.80293273925699</v>
      </c>
      <c r="D770" s="4">
        <v>-5.370081825011197E-3</v>
      </c>
    </row>
    <row r="771" spans="1:4" x14ac:dyDescent="0.35">
      <c r="A771" s="2">
        <v>44945</v>
      </c>
      <c r="B771">
        <v>133.86231994628901</v>
      </c>
      <c r="D771" s="4">
        <v>4.4384084725357376E-4</v>
      </c>
    </row>
    <row r="772" spans="1:4" x14ac:dyDescent="0.35">
      <c r="A772" s="2">
        <v>44946</v>
      </c>
      <c r="B772">
        <v>136.43522644042901</v>
      </c>
      <c r="D772" s="4">
        <v>1.9220543130974876E-2</v>
      </c>
    </row>
    <row r="773" spans="1:4" x14ac:dyDescent="0.35">
      <c r="A773" s="2">
        <v>44949</v>
      </c>
      <c r="B773">
        <v>139.64152526855401</v>
      </c>
      <c r="D773" s="4">
        <v>2.350052044312001E-2</v>
      </c>
    </row>
    <row r="774" spans="1:4" x14ac:dyDescent="0.35">
      <c r="A774" s="2">
        <v>44950</v>
      </c>
      <c r="B774">
        <v>141.04676818847599</v>
      </c>
      <c r="D774" s="4">
        <v>1.0063216634303318E-2</v>
      </c>
    </row>
    <row r="775" spans="1:4" x14ac:dyDescent="0.35">
      <c r="A775" s="2">
        <v>44951</v>
      </c>
      <c r="B775">
        <v>140.38372802734301</v>
      </c>
      <c r="D775" s="4">
        <v>-4.700853267669225E-3</v>
      </c>
    </row>
    <row r="776" spans="1:4" x14ac:dyDescent="0.35">
      <c r="A776" s="2">
        <v>44952</v>
      </c>
      <c r="B776">
        <v>142.46188354492099</v>
      </c>
      <c r="D776" s="4">
        <v>1.4803393148052235E-2</v>
      </c>
    </row>
    <row r="777" spans="1:4" x14ac:dyDescent="0.35">
      <c r="A777" s="2">
        <v>44953</v>
      </c>
      <c r="B777">
        <v>144.41139221191401</v>
      </c>
      <c r="D777" s="4">
        <v>1.3684422938141871E-2</v>
      </c>
    </row>
    <row r="778" spans="1:4" x14ac:dyDescent="0.35">
      <c r="A778" s="2">
        <v>44956</v>
      </c>
      <c r="B778">
        <v>141.51187133789</v>
      </c>
      <c r="D778" s="4">
        <v>-2.0078200407964708E-2</v>
      </c>
    </row>
    <row r="779" spans="1:4" x14ac:dyDescent="0.35">
      <c r="A779" s="2">
        <v>44957</v>
      </c>
      <c r="B779">
        <v>142.78845214843699</v>
      </c>
      <c r="D779" s="4">
        <v>9.0210156821322052E-3</v>
      </c>
    </row>
    <row r="780" spans="1:4" x14ac:dyDescent="0.35">
      <c r="A780" s="2">
        <v>44958</v>
      </c>
      <c r="B780">
        <v>143.91656494140599</v>
      </c>
      <c r="D780" s="4">
        <v>7.9005884299121476E-3</v>
      </c>
    </row>
    <row r="781" spans="1:4" x14ac:dyDescent="0.35">
      <c r="A781" s="2">
        <v>44959</v>
      </c>
      <c r="B781">
        <v>149.25050354003901</v>
      </c>
      <c r="D781" s="4">
        <v>3.7062714780641492E-2</v>
      </c>
    </row>
    <row r="782" spans="1:4" x14ac:dyDescent="0.35">
      <c r="A782" s="2">
        <v>44960</v>
      </c>
      <c r="B782">
        <v>152.89219665527301</v>
      </c>
      <c r="D782" s="4">
        <v>2.4399871550564445E-2</v>
      </c>
    </row>
    <row r="783" spans="1:4" x14ac:dyDescent="0.35">
      <c r="A783" s="2">
        <v>44963</v>
      </c>
      <c r="B783">
        <v>150.15103149414</v>
      </c>
      <c r="D783" s="4">
        <v>-1.7928744704437283E-2</v>
      </c>
    </row>
    <row r="784" spans="1:4" x14ac:dyDescent="0.35">
      <c r="A784" s="2">
        <v>44964</v>
      </c>
      <c r="B784">
        <v>153.04061889648401</v>
      </c>
      <c r="D784" s="4">
        <v>1.9244539138958849E-2</v>
      </c>
    </row>
    <row r="785" spans="1:4" x14ac:dyDescent="0.35">
      <c r="A785" s="2">
        <v>44965</v>
      </c>
      <c r="B785">
        <v>150.33905029296801</v>
      </c>
      <c r="D785" s="4">
        <v>-1.7652624662628402E-2</v>
      </c>
    </row>
    <row r="786" spans="1:4" x14ac:dyDescent="0.35">
      <c r="A786" s="2">
        <v>44966</v>
      </c>
      <c r="B786">
        <v>149.29998779296801</v>
      </c>
      <c r="D786" s="4">
        <v>-6.911461113896622E-3</v>
      </c>
    </row>
    <row r="787" spans="1:4" x14ac:dyDescent="0.35">
      <c r="A787" s="2">
        <v>44967</v>
      </c>
      <c r="B787">
        <v>149.66668701171801</v>
      </c>
      <c r="D787" s="4">
        <v>2.4561235681981319E-3</v>
      </c>
    </row>
    <row r="788" spans="1:4" x14ac:dyDescent="0.35">
      <c r="A788" s="2">
        <v>44970</v>
      </c>
      <c r="B788">
        <v>152.48143005371</v>
      </c>
      <c r="D788" s="4">
        <v>1.8806743826511152E-2</v>
      </c>
    </row>
    <row r="789" spans="1:4" x14ac:dyDescent="0.35">
      <c r="A789" s="2">
        <v>44971</v>
      </c>
      <c r="B789">
        <v>151.83717346191401</v>
      </c>
      <c r="D789" s="4">
        <v>-4.2251478856740743E-3</v>
      </c>
    </row>
    <row r="790" spans="1:4" x14ac:dyDescent="0.35">
      <c r="A790" s="2">
        <v>44972</v>
      </c>
      <c r="B790">
        <v>153.94825744628901</v>
      </c>
      <c r="D790" s="4">
        <v>1.3903604343007192E-2</v>
      </c>
    </row>
    <row r="791" spans="1:4" x14ac:dyDescent="0.35">
      <c r="A791" s="2">
        <v>44973</v>
      </c>
      <c r="B791">
        <v>152.34266662597599</v>
      </c>
      <c r="D791" s="4">
        <v>-1.0429418604320229E-2</v>
      </c>
    </row>
    <row r="792" spans="1:4" x14ac:dyDescent="0.35">
      <c r="A792" s="2">
        <v>44974</v>
      </c>
      <c r="B792">
        <v>151.19297790527301</v>
      </c>
      <c r="D792" s="4">
        <v>-7.5467283471257751E-3</v>
      </c>
    </row>
    <row r="793" spans="1:4" x14ac:dyDescent="0.35">
      <c r="A793" s="2">
        <v>44978</v>
      </c>
      <c r="B793">
        <v>147.1591796875</v>
      </c>
      <c r="D793" s="4">
        <v>-2.6679798715918634E-2</v>
      </c>
    </row>
    <row r="794" spans="1:4" x14ac:dyDescent="0.35">
      <c r="A794" s="2">
        <v>44979</v>
      </c>
      <c r="B794">
        <v>147.585357666015</v>
      </c>
      <c r="D794" s="4">
        <v>2.8960339369925592E-3</v>
      </c>
    </row>
    <row r="795" spans="1:4" x14ac:dyDescent="0.35">
      <c r="A795" s="2">
        <v>44980</v>
      </c>
      <c r="B795">
        <v>148.07098388671801</v>
      </c>
      <c r="D795" s="4">
        <v>3.2904769713129056E-3</v>
      </c>
    </row>
    <row r="796" spans="1:4" x14ac:dyDescent="0.35">
      <c r="A796" s="2">
        <v>44981</v>
      </c>
      <c r="B796">
        <v>145.40492248535099</v>
      </c>
      <c r="D796" s="4">
        <v>-1.8005292673726636E-2</v>
      </c>
    </row>
    <row r="797" spans="1:4" x14ac:dyDescent="0.35">
      <c r="A797" s="2">
        <v>44984</v>
      </c>
      <c r="B797">
        <v>146.60417175292901</v>
      </c>
      <c r="D797" s="4">
        <v>8.2476524665031636E-3</v>
      </c>
    </row>
    <row r="798" spans="1:4" x14ac:dyDescent="0.35">
      <c r="A798" s="2">
        <v>44985</v>
      </c>
      <c r="B798">
        <v>146.098709106445</v>
      </c>
      <c r="D798" s="4">
        <v>-3.4478053416915344E-3</v>
      </c>
    </row>
    <row r="799" spans="1:4" x14ac:dyDescent="0.35">
      <c r="A799" s="2">
        <v>44986</v>
      </c>
      <c r="B799">
        <v>144.01737976074199</v>
      </c>
      <c r="D799" s="4">
        <v>-1.4246048842133097E-2</v>
      </c>
    </row>
    <row r="800" spans="1:4" x14ac:dyDescent="0.35">
      <c r="A800" s="2">
        <v>44987</v>
      </c>
      <c r="B800">
        <v>144.612060546875</v>
      </c>
      <c r="D800" s="4">
        <v>4.129229313302174E-3</v>
      </c>
    </row>
    <row r="801" spans="1:4" x14ac:dyDescent="0.35">
      <c r="A801" s="2">
        <v>44988</v>
      </c>
      <c r="B801">
        <v>149.68649291992099</v>
      </c>
      <c r="D801" s="4">
        <v>3.5089966589620269E-2</v>
      </c>
    </row>
    <row r="802" spans="1:4" x14ac:dyDescent="0.35">
      <c r="A802" s="2">
        <v>44991</v>
      </c>
      <c r="B802">
        <v>152.46159362792901</v>
      </c>
      <c r="D802" s="4">
        <v>1.8539419648856637E-2</v>
      </c>
    </row>
    <row r="803" spans="1:4" x14ac:dyDescent="0.35">
      <c r="A803" s="2">
        <v>44992</v>
      </c>
      <c r="B803">
        <v>150.25143432617099</v>
      </c>
      <c r="D803" s="4">
        <v>-1.4496498752018416E-2</v>
      </c>
    </row>
    <row r="804" spans="1:4" x14ac:dyDescent="0.35">
      <c r="A804" s="2">
        <v>44993</v>
      </c>
      <c r="B804">
        <v>151.51013183593699</v>
      </c>
      <c r="D804" s="4">
        <v>8.3772745026418072E-3</v>
      </c>
    </row>
    <row r="805" spans="1:4" x14ac:dyDescent="0.35">
      <c r="A805" s="2">
        <v>44994</v>
      </c>
      <c r="B805">
        <v>149.25042724609301</v>
      </c>
      <c r="D805" s="4">
        <v>-1.4914544410078778E-2</v>
      </c>
    </row>
    <row r="806" spans="1:4" x14ac:dyDescent="0.35">
      <c r="A806" s="2">
        <v>44995</v>
      </c>
      <c r="B806">
        <v>147.17901611328099</v>
      </c>
      <c r="D806" s="4">
        <v>-1.3878761830252939E-2</v>
      </c>
    </row>
    <row r="807" spans="1:4" x14ac:dyDescent="0.35">
      <c r="A807" s="2">
        <v>44998</v>
      </c>
      <c r="B807">
        <v>149.13148498535099</v>
      </c>
      <c r="D807" s="4">
        <v>1.3265945945495572E-2</v>
      </c>
    </row>
    <row r="808" spans="1:4" x14ac:dyDescent="0.35">
      <c r="A808" s="2">
        <v>44999</v>
      </c>
      <c r="B808">
        <v>151.23263549804599</v>
      </c>
      <c r="D808" s="4">
        <v>1.4089248242256769E-2</v>
      </c>
    </row>
    <row r="809" spans="1:4" x14ac:dyDescent="0.35">
      <c r="A809" s="2">
        <v>45000</v>
      </c>
      <c r="B809">
        <v>151.62908935546801</v>
      </c>
      <c r="D809" s="4">
        <v>2.6214834920808006E-3</v>
      </c>
    </row>
    <row r="810" spans="1:4" x14ac:dyDescent="0.35">
      <c r="A810" s="2">
        <v>45001</v>
      </c>
      <c r="B810">
        <v>154.46363830566401</v>
      </c>
      <c r="D810" s="4">
        <v>1.8693965400998325E-2</v>
      </c>
    </row>
    <row r="811" spans="1:4" x14ac:dyDescent="0.35">
      <c r="A811" s="2">
        <v>45002</v>
      </c>
      <c r="B811">
        <v>153.62118530273401</v>
      </c>
      <c r="D811" s="4">
        <v>-5.4540538612906087E-3</v>
      </c>
    </row>
    <row r="812" spans="1:4" x14ac:dyDescent="0.35">
      <c r="A812" s="2">
        <v>45005</v>
      </c>
      <c r="B812">
        <v>155.99983215332</v>
      </c>
      <c r="D812" s="4">
        <v>1.5483846488350661E-2</v>
      </c>
    </row>
    <row r="813" spans="1:4" x14ac:dyDescent="0.35">
      <c r="A813" s="2">
        <v>45006</v>
      </c>
      <c r="B813">
        <v>157.86312866210901</v>
      </c>
      <c r="D813" s="4">
        <v>1.1944221240941522E-2</v>
      </c>
    </row>
    <row r="814" spans="1:4" x14ac:dyDescent="0.35">
      <c r="A814" s="2">
        <v>45007</v>
      </c>
      <c r="B814">
        <v>156.426025390625</v>
      </c>
      <c r="D814" s="4">
        <v>-9.1034764334361196E-3</v>
      </c>
    </row>
    <row r="815" spans="1:4" x14ac:dyDescent="0.35">
      <c r="A815" s="2">
        <v>45008</v>
      </c>
      <c r="B815">
        <v>157.51623535156199</v>
      </c>
      <c r="D815" s="4">
        <v>6.9694921814611455E-3</v>
      </c>
    </row>
    <row r="816" spans="1:4" x14ac:dyDescent="0.35">
      <c r="A816" s="2">
        <v>45009</v>
      </c>
      <c r="B816">
        <v>158.82447814941401</v>
      </c>
      <c r="D816" s="4">
        <v>8.3054473396482198E-3</v>
      </c>
    </row>
    <row r="817" spans="1:4" x14ac:dyDescent="0.35">
      <c r="A817" s="2">
        <v>45012</v>
      </c>
      <c r="B817">
        <v>156.87200927734301</v>
      </c>
      <c r="D817" s="4">
        <v>-1.2293249093720982E-2</v>
      </c>
    </row>
    <row r="818" spans="1:4" x14ac:dyDescent="0.35">
      <c r="A818" s="2">
        <v>45013</v>
      </c>
      <c r="B818">
        <v>156.24760437011699</v>
      </c>
      <c r="D818" s="4">
        <v>-3.9803462077298013E-3</v>
      </c>
    </row>
    <row r="819" spans="1:4" x14ac:dyDescent="0.35">
      <c r="A819" s="2">
        <v>45014</v>
      </c>
      <c r="B819">
        <v>159.33985900878901</v>
      </c>
      <c r="D819" s="4">
        <v>1.9790733119639636E-2</v>
      </c>
    </row>
    <row r="820" spans="1:4" x14ac:dyDescent="0.35">
      <c r="A820" s="2">
        <v>45015</v>
      </c>
      <c r="B820">
        <v>160.91571044921801</v>
      </c>
      <c r="D820" s="4">
        <v>9.8898759559093996E-3</v>
      </c>
    </row>
    <row r="821" spans="1:4" x14ac:dyDescent="0.35">
      <c r="A821" s="2">
        <v>45016</v>
      </c>
      <c r="B821">
        <v>163.43312072753901</v>
      </c>
      <c r="D821" s="4">
        <v>1.5644279053258936E-2</v>
      </c>
    </row>
    <row r="822" spans="1:4" x14ac:dyDescent="0.35">
      <c r="A822" s="2">
        <v>45019</v>
      </c>
      <c r="B822">
        <v>164.69183349609301</v>
      </c>
      <c r="D822" s="4">
        <v>7.7016994043235254E-3</v>
      </c>
    </row>
    <row r="823" spans="1:4" x14ac:dyDescent="0.35">
      <c r="A823" s="2">
        <v>45020</v>
      </c>
      <c r="B823">
        <v>164.156646728515</v>
      </c>
      <c r="D823" s="4">
        <v>-3.2496254138230096E-3</v>
      </c>
    </row>
    <row r="824" spans="1:4" x14ac:dyDescent="0.35">
      <c r="A824" s="2">
        <v>45021</v>
      </c>
      <c r="B824">
        <v>162.30326843261699</v>
      </c>
      <c r="D824" s="4">
        <v>-1.1290303090578879E-2</v>
      </c>
    </row>
    <row r="825" spans="1:4" x14ac:dyDescent="0.35">
      <c r="A825" s="2">
        <v>45022</v>
      </c>
      <c r="B825">
        <v>163.19525146484301</v>
      </c>
      <c r="D825" s="4">
        <v>5.495779849906901E-3</v>
      </c>
    </row>
    <row r="826" spans="1:4" x14ac:dyDescent="0.35">
      <c r="A826" s="2">
        <v>45026</v>
      </c>
      <c r="B826">
        <v>160.58866882324199</v>
      </c>
      <c r="D826" s="4">
        <v>-1.5972172095721549E-2</v>
      </c>
    </row>
    <row r="827" spans="1:4" x14ac:dyDescent="0.35">
      <c r="A827" s="2">
        <v>45027</v>
      </c>
      <c r="B827">
        <v>159.36961364746</v>
      </c>
      <c r="D827" s="4">
        <v>-7.5911655829452584E-3</v>
      </c>
    </row>
    <row r="828" spans="1:4" x14ac:dyDescent="0.35">
      <c r="A828" s="2">
        <v>45028</v>
      </c>
      <c r="B828">
        <v>158.67581176757801</v>
      </c>
      <c r="D828" s="4">
        <v>-4.3534138284149204E-3</v>
      </c>
    </row>
    <row r="829" spans="1:4" x14ac:dyDescent="0.35">
      <c r="A829" s="2">
        <v>45029</v>
      </c>
      <c r="B829">
        <v>164.08724975585901</v>
      </c>
      <c r="D829" s="4">
        <v>3.4103735963282533E-2</v>
      </c>
    </row>
    <row r="830" spans="1:4" x14ac:dyDescent="0.35">
      <c r="A830" s="2">
        <v>45030</v>
      </c>
      <c r="B830">
        <v>163.74040222167901</v>
      </c>
      <c r="D830" s="4">
        <v>-2.1137994249770253E-3</v>
      </c>
    </row>
    <row r="831" spans="1:4" x14ac:dyDescent="0.35">
      <c r="A831" s="2">
        <v>45033</v>
      </c>
      <c r="B831">
        <v>163.76017761230401</v>
      </c>
      <c r="D831" s="4">
        <v>1.2077282305811288E-4</v>
      </c>
    </row>
    <row r="832" spans="1:4" x14ac:dyDescent="0.35">
      <c r="A832" s="2">
        <v>45034</v>
      </c>
      <c r="B832">
        <v>164.98915100097599</v>
      </c>
      <c r="D832" s="4">
        <v>7.5047145563162942E-3</v>
      </c>
    </row>
    <row r="833" spans="1:4" x14ac:dyDescent="0.35">
      <c r="A833" s="2">
        <v>45035</v>
      </c>
      <c r="B833">
        <v>166.13882446289</v>
      </c>
      <c r="D833" s="4">
        <v>6.9681761190905078E-3</v>
      </c>
    </row>
    <row r="834" spans="1:4" x14ac:dyDescent="0.35">
      <c r="A834" s="2">
        <v>45036</v>
      </c>
      <c r="B834">
        <v>165.167556762695</v>
      </c>
      <c r="D834" s="4">
        <v>-5.846121178087138E-3</v>
      </c>
    </row>
    <row r="835" spans="1:4" x14ac:dyDescent="0.35">
      <c r="A835" s="2">
        <v>45037</v>
      </c>
      <c r="B835">
        <v>163.55206298828099</v>
      </c>
      <c r="D835" s="4">
        <v>-9.7809388603784519E-3</v>
      </c>
    </row>
    <row r="836" spans="1:4" x14ac:dyDescent="0.35">
      <c r="A836" s="2">
        <v>45040</v>
      </c>
      <c r="B836">
        <v>163.85931396484301</v>
      </c>
      <c r="D836" s="4">
        <v>1.8786126628316246E-3</v>
      </c>
    </row>
    <row r="837" spans="1:4" x14ac:dyDescent="0.35">
      <c r="A837" s="2">
        <v>45041</v>
      </c>
      <c r="B837">
        <v>162.31320190429599</v>
      </c>
      <c r="D837" s="4">
        <v>-9.4356068210974531E-3</v>
      </c>
    </row>
    <row r="838" spans="1:4" x14ac:dyDescent="0.35">
      <c r="A838" s="2">
        <v>45042</v>
      </c>
      <c r="B838">
        <v>162.30326843261699</v>
      </c>
      <c r="D838" s="4">
        <v>-6.1199406841017101E-5</v>
      </c>
    </row>
    <row r="839" spans="1:4" x14ac:dyDescent="0.35">
      <c r="A839" s="2">
        <v>45043</v>
      </c>
      <c r="B839">
        <v>166.91191101074199</v>
      </c>
      <c r="D839" s="4">
        <v>2.8395254283116067E-2</v>
      </c>
    </row>
    <row r="840" spans="1:4" x14ac:dyDescent="0.35">
      <c r="A840" s="2">
        <v>45044</v>
      </c>
      <c r="B840">
        <v>168.17059326171801</v>
      </c>
      <c r="D840" s="4">
        <v>7.5409971844071499E-3</v>
      </c>
    </row>
    <row r="841" spans="1:4" x14ac:dyDescent="0.35">
      <c r="A841" s="2">
        <v>45047</v>
      </c>
      <c r="B841">
        <v>168.08140563964801</v>
      </c>
      <c r="D841" s="4">
        <v>-5.3034017624709051E-4</v>
      </c>
    </row>
    <row r="842" spans="1:4" x14ac:dyDescent="0.35">
      <c r="A842" s="2">
        <v>45048</v>
      </c>
      <c r="B842">
        <v>167.04074096679599</v>
      </c>
      <c r="D842" s="4">
        <v>-6.19143247220999E-3</v>
      </c>
    </row>
    <row r="843" spans="1:4" x14ac:dyDescent="0.35">
      <c r="A843" s="2">
        <v>45049</v>
      </c>
      <c r="B843">
        <v>165.96041870117099</v>
      </c>
      <c r="D843" s="4">
        <v>-6.4674178249708447E-3</v>
      </c>
    </row>
    <row r="844" spans="1:4" x14ac:dyDescent="0.35">
      <c r="A844" s="2">
        <v>45050</v>
      </c>
      <c r="B844">
        <v>164.315185546875</v>
      </c>
      <c r="D844" s="4">
        <v>-9.913406866358998E-3</v>
      </c>
    </row>
    <row r="845" spans="1:4" x14ac:dyDescent="0.35">
      <c r="A845" s="2">
        <v>45051</v>
      </c>
      <c r="B845">
        <v>172.02601623535099</v>
      </c>
      <c r="D845" s="4">
        <v>4.6927072886250532E-2</v>
      </c>
    </row>
    <row r="846" spans="1:4" x14ac:dyDescent="0.35">
      <c r="A846" s="2">
        <v>45054</v>
      </c>
      <c r="B846">
        <v>171.956619262695</v>
      </c>
      <c r="D846" s="4">
        <v>-4.0340975263331025E-4</v>
      </c>
    </row>
    <row r="847" spans="1:4" x14ac:dyDescent="0.35">
      <c r="A847" s="2">
        <v>45055</v>
      </c>
      <c r="B847">
        <v>170.24200439453099</v>
      </c>
      <c r="D847" s="4">
        <v>-9.9712059676203557E-3</v>
      </c>
    </row>
    <row r="848" spans="1:4" x14ac:dyDescent="0.35">
      <c r="A848" s="2">
        <v>45056</v>
      </c>
      <c r="B848">
        <v>172.01611328125</v>
      </c>
      <c r="D848" s="4">
        <v>1.0421099616564344E-2</v>
      </c>
    </row>
    <row r="849" spans="1:4" x14ac:dyDescent="0.35">
      <c r="A849" s="2">
        <v>45057</v>
      </c>
      <c r="B849">
        <v>172.20437622070301</v>
      </c>
      <c r="D849" s="4">
        <v>1.094449443495904E-3</v>
      </c>
    </row>
    <row r="850" spans="1:4" x14ac:dyDescent="0.35">
      <c r="A850" s="2">
        <v>45058</v>
      </c>
      <c r="B850">
        <v>171.271484375</v>
      </c>
      <c r="D850" s="4">
        <v>-5.417352718768198E-3</v>
      </c>
    </row>
    <row r="851" spans="1:4" x14ac:dyDescent="0.35">
      <c r="A851" s="2">
        <v>45061</v>
      </c>
      <c r="B851">
        <v>170.77523803710901</v>
      </c>
      <c r="D851" s="4">
        <v>-2.8974253344150602E-3</v>
      </c>
    </row>
    <row r="852" spans="1:4" x14ac:dyDescent="0.35">
      <c r="A852" s="2">
        <v>45062</v>
      </c>
      <c r="B852">
        <v>170.77523803710901</v>
      </c>
      <c r="D852" s="4">
        <v>0</v>
      </c>
    </row>
    <row r="853" spans="1:4" x14ac:dyDescent="0.35">
      <c r="A853" s="2">
        <v>45063</v>
      </c>
      <c r="B853">
        <v>171.39057922363199</v>
      </c>
      <c r="D853" s="4">
        <v>3.6032225373872073E-3</v>
      </c>
    </row>
    <row r="854" spans="1:4" x14ac:dyDescent="0.35">
      <c r="A854" s="2">
        <v>45064</v>
      </c>
      <c r="B854">
        <v>173.73278808593699</v>
      </c>
      <c r="D854" s="4">
        <v>1.3665913686240927E-2</v>
      </c>
    </row>
    <row r="855" spans="1:4" x14ac:dyDescent="0.35">
      <c r="A855" s="2">
        <v>45065</v>
      </c>
      <c r="B855">
        <v>173.84199523925699</v>
      </c>
      <c r="D855" s="4">
        <v>6.2859264807269E-4</v>
      </c>
    </row>
    <row r="856" spans="1:4" x14ac:dyDescent="0.35">
      <c r="A856" s="2">
        <v>45068</v>
      </c>
      <c r="B856">
        <v>172.88919067382801</v>
      </c>
      <c r="D856" s="4">
        <v>-5.48086533474057E-3</v>
      </c>
    </row>
    <row r="857" spans="1:4" x14ac:dyDescent="0.35">
      <c r="A857" s="2">
        <v>45069</v>
      </c>
      <c r="B857">
        <v>170.26905822753901</v>
      </c>
      <c r="D857" s="4">
        <v>-1.5154981269084322E-2</v>
      </c>
    </row>
    <row r="858" spans="1:4" x14ac:dyDescent="0.35">
      <c r="A858" s="2">
        <v>45070</v>
      </c>
      <c r="B858">
        <v>170.54696655273401</v>
      </c>
      <c r="D858" s="4">
        <v>1.6321716234761752E-3</v>
      </c>
    </row>
    <row r="859" spans="1:4" x14ac:dyDescent="0.35">
      <c r="A859" s="2">
        <v>45071</v>
      </c>
      <c r="B859">
        <v>171.68830871582</v>
      </c>
      <c r="D859" s="4">
        <v>6.6922454626778816E-3</v>
      </c>
    </row>
    <row r="860" spans="1:4" x14ac:dyDescent="0.35">
      <c r="A860" s="2">
        <v>45072</v>
      </c>
      <c r="B860">
        <v>174.109939575195</v>
      </c>
      <c r="D860" s="4">
        <v>1.4104809334357871E-2</v>
      </c>
    </row>
    <row r="861" spans="1:4" x14ac:dyDescent="0.35">
      <c r="A861" s="2">
        <v>45076</v>
      </c>
      <c r="B861">
        <v>175.96588134765599</v>
      </c>
      <c r="D861" s="4">
        <v>1.0659596901757773E-2</v>
      </c>
    </row>
    <row r="862" spans="1:4" x14ac:dyDescent="0.35">
      <c r="A862" s="2">
        <v>45077</v>
      </c>
      <c r="B862">
        <v>175.916259765625</v>
      </c>
      <c r="D862" s="4">
        <v>-2.8199547350293841E-4</v>
      </c>
    </row>
    <row r="863" spans="1:4" x14ac:dyDescent="0.35">
      <c r="A863" s="2">
        <v>45078</v>
      </c>
      <c r="B863">
        <v>178.73487854003901</v>
      </c>
      <c r="D863" s="4">
        <v>1.6022502855445486E-2</v>
      </c>
    </row>
    <row r="864" spans="1:4" x14ac:dyDescent="0.35">
      <c r="A864" s="2">
        <v>45079</v>
      </c>
      <c r="B864">
        <v>179.58842468261699</v>
      </c>
      <c r="D864" s="4">
        <v>4.7754873002405773E-3</v>
      </c>
    </row>
    <row r="865" spans="1:4" x14ac:dyDescent="0.35">
      <c r="A865" s="2">
        <v>45082</v>
      </c>
      <c r="B865">
        <v>178.22871398925699</v>
      </c>
      <c r="D865" s="4">
        <v>-7.5712602065695078E-3</v>
      </c>
    </row>
    <row r="866" spans="1:4" x14ac:dyDescent="0.35">
      <c r="A866" s="2">
        <v>45083</v>
      </c>
      <c r="B866">
        <v>177.86151123046801</v>
      </c>
      <c r="D866" s="4">
        <v>-2.0602895603629712E-3</v>
      </c>
    </row>
    <row r="867" spans="1:4" x14ac:dyDescent="0.35">
      <c r="A867" s="2">
        <v>45084</v>
      </c>
      <c r="B867">
        <v>176.48197937011699</v>
      </c>
      <c r="D867" s="4">
        <v>-7.7562135326931791E-3</v>
      </c>
    </row>
    <row r="868" spans="1:4" x14ac:dyDescent="0.35">
      <c r="A868" s="2">
        <v>45085</v>
      </c>
      <c r="B868">
        <v>179.21127319335901</v>
      </c>
      <c r="D868" s="4">
        <v>1.5465000069600165E-2</v>
      </c>
    </row>
    <row r="869" spans="1:4" x14ac:dyDescent="0.35">
      <c r="A869" s="2">
        <v>45086</v>
      </c>
      <c r="B869">
        <v>179.59834289550699</v>
      </c>
      <c r="D869" s="4">
        <v>2.1598513042779821E-3</v>
      </c>
    </row>
    <row r="870" spans="1:4" x14ac:dyDescent="0.35">
      <c r="A870" s="2">
        <v>45089</v>
      </c>
      <c r="B870">
        <v>182.40704345703099</v>
      </c>
      <c r="D870" s="4">
        <v>1.563878884538572E-2</v>
      </c>
    </row>
    <row r="871" spans="1:4" x14ac:dyDescent="0.35">
      <c r="A871" s="2">
        <v>45090</v>
      </c>
      <c r="B871">
        <v>181.9306640625</v>
      </c>
      <c r="D871" s="4">
        <v>-2.6116282874965036E-3</v>
      </c>
    </row>
    <row r="872" spans="1:4" x14ac:dyDescent="0.35">
      <c r="A872" s="2">
        <v>45091</v>
      </c>
      <c r="B872">
        <v>182.56585693359301</v>
      </c>
      <c r="D872" s="4">
        <v>3.4914008277064923E-3</v>
      </c>
    </row>
    <row r="873" spans="1:4" x14ac:dyDescent="0.35">
      <c r="A873" s="2">
        <v>45092</v>
      </c>
      <c r="B873">
        <v>184.61033630371</v>
      </c>
      <c r="D873" s="4">
        <v>1.1198585564992314E-2</v>
      </c>
    </row>
    <row r="874" spans="1:4" x14ac:dyDescent="0.35">
      <c r="A874" s="2">
        <v>45093</v>
      </c>
      <c r="B874">
        <v>183.52851867675699</v>
      </c>
      <c r="D874" s="4">
        <v>-5.860005721311623E-3</v>
      </c>
    </row>
    <row r="875" spans="1:4" x14ac:dyDescent="0.35">
      <c r="A875" s="2">
        <v>45097</v>
      </c>
      <c r="B875">
        <v>183.61784362792901</v>
      </c>
      <c r="D875" s="4">
        <v>4.8670883313417512E-4</v>
      </c>
    </row>
    <row r="876" spans="1:4" x14ac:dyDescent="0.35">
      <c r="A876" s="2">
        <v>45098</v>
      </c>
      <c r="B876">
        <v>182.57577514648401</v>
      </c>
      <c r="D876" s="4">
        <v>-5.6752026973836411E-3</v>
      </c>
    </row>
    <row r="877" spans="1:4" x14ac:dyDescent="0.35">
      <c r="A877" s="2">
        <v>45099</v>
      </c>
      <c r="B877">
        <v>185.59291076660099</v>
      </c>
      <c r="D877" s="4">
        <v>1.6525388528112694E-2</v>
      </c>
    </row>
    <row r="878" spans="1:4" x14ac:dyDescent="0.35">
      <c r="A878" s="2">
        <v>45100</v>
      </c>
      <c r="B878">
        <v>185.27528381347599</v>
      </c>
      <c r="D878" s="4">
        <v>-1.711417487947231E-3</v>
      </c>
    </row>
    <row r="879" spans="1:4" x14ac:dyDescent="0.35">
      <c r="A879" s="2">
        <v>45103</v>
      </c>
      <c r="B879">
        <v>183.87590026855401</v>
      </c>
      <c r="D879" s="4">
        <v>-7.55299636367468E-3</v>
      </c>
    </row>
    <row r="880" spans="1:4" x14ac:dyDescent="0.35">
      <c r="A880" s="2">
        <v>45104</v>
      </c>
      <c r="B880">
        <v>186.644927978515</v>
      </c>
      <c r="D880" s="4">
        <v>1.5059220408529805E-2</v>
      </c>
    </row>
    <row r="881" spans="1:4" x14ac:dyDescent="0.35">
      <c r="A881" s="2">
        <v>45105</v>
      </c>
      <c r="B881">
        <v>187.82595825195301</v>
      </c>
      <c r="D881" s="4">
        <v>6.327684798238753E-3</v>
      </c>
    </row>
    <row r="882" spans="1:4" x14ac:dyDescent="0.35">
      <c r="A882" s="2">
        <v>45106</v>
      </c>
      <c r="B882">
        <v>188.16340637207</v>
      </c>
      <c r="D882" s="4">
        <v>1.7966000187488174E-3</v>
      </c>
    </row>
    <row r="883" spans="1:4" x14ac:dyDescent="0.35">
      <c r="A883" s="2">
        <v>45107</v>
      </c>
      <c r="B883">
        <v>192.51043701171801</v>
      </c>
      <c r="D883" s="4">
        <v>2.310242317282607E-2</v>
      </c>
    </row>
    <row r="884" spans="1:4" x14ac:dyDescent="0.35">
      <c r="A884" s="2">
        <v>45110</v>
      </c>
      <c r="B884">
        <v>191.01181030273401</v>
      </c>
      <c r="D884" s="4">
        <v>-7.7846517427664352E-3</v>
      </c>
    </row>
    <row r="885" spans="1:4" x14ac:dyDescent="0.35">
      <c r="A885" s="2">
        <v>45112</v>
      </c>
      <c r="B885">
        <v>189.89030456542901</v>
      </c>
      <c r="D885" s="4">
        <v>-5.8713947348466577E-3</v>
      </c>
    </row>
    <row r="886" spans="1:4" x14ac:dyDescent="0.35">
      <c r="A886" s="2">
        <v>45113</v>
      </c>
      <c r="B886">
        <v>190.36669921875</v>
      </c>
      <c r="D886" s="4">
        <v>2.5087887157337896E-3</v>
      </c>
    </row>
    <row r="887" spans="1:4" x14ac:dyDescent="0.35">
      <c r="A887" s="2">
        <v>45114</v>
      </c>
      <c r="B887">
        <v>189.24517822265599</v>
      </c>
      <c r="D887" s="4">
        <v>-5.8913717614301753E-3</v>
      </c>
    </row>
    <row r="888" spans="1:4" x14ac:dyDescent="0.35">
      <c r="A888" s="2">
        <v>45117</v>
      </c>
      <c r="B888">
        <v>187.19076538085901</v>
      </c>
      <c r="D888" s="4">
        <v>-1.0855826611232744E-2</v>
      </c>
    </row>
    <row r="889" spans="1:4" x14ac:dyDescent="0.35">
      <c r="A889" s="2">
        <v>45118</v>
      </c>
      <c r="B889">
        <v>186.66476440429599</v>
      </c>
      <c r="D889" s="4">
        <v>-2.8099728931222367E-3</v>
      </c>
    </row>
    <row r="890" spans="1:4" x14ac:dyDescent="0.35">
      <c r="A890" s="2">
        <v>45119</v>
      </c>
      <c r="B890">
        <v>188.34205627441401</v>
      </c>
      <c r="D890" s="4">
        <v>8.9855837306562769E-3</v>
      </c>
    </row>
    <row r="891" spans="1:4" x14ac:dyDescent="0.35">
      <c r="A891" s="2">
        <v>45120</v>
      </c>
      <c r="B891">
        <v>189.10624694824199</v>
      </c>
      <c r="D891" s="4">
        <v>4.0574616681181563E-3</v>
      </c>
    </row>
    <row r="892" spans="1:4" x14ac:dyDescent="0.35">
      <c r="A892" s="2">
        <v>45121</v>
      </c>
      <c r="B892">
        <v>189.255126953125</v>
      </c>
      <c r="D892" s="4">
        <v>7.8728232031255452E-4</v>
      </c>
    </row>
    <row r="893" spans="1:4" x14ac:dyDescent="0.35">
      <c r="A893" s="2">
        <v>45124</v>
      </c>
      <c r="B893">
        <v>192.53030395507801</v>
      </c>
      <c r="D893" s="4">
        <v>1.7305618371777021E-2</v>
      </c>
    </row>
    <row r="894" spans="1:4" x14ac:dyDescent="0.35">
      <c r="A894" s="2">
        <v>45125</v>
      </c>
      <c r="B894">
        <v>192.272216796875</v>
      </c>
      <c r="D894" s="4">
        <v>-1.3405014841882945E-3</v>
      </c>
    </row>
    <row r="895" spans="1:4" x14ac:dyDescent="0.35">
      <c r="A895" s="2">
        <v>45126</v>
      </c>
      <c r="B895">
        <v>193.63194274902301</v>
      </c>
      <c r="D895" s="4">
        <v>7.0718795195692241E-3</v>
      </c>
    </row>
    <row r="896" spans="1:4" x14ac:dyDescent="0.35">
      <c r="A896" s="2">
        <v>45127</v>
      </c>
      <c r="B896">
        <v>191.6767578125</v>
      </c>
      <c r="D896" s="4">
        <v>-1.0097429735842933E-2</v>
      </c>
    </row>
    <row r="897" spans="1:4" x14ac:dyDescent="0.35">
      <c r="A897" s="2">
        <v>45128</v>
      </c>
      <c r="B897">
        <v>190.49572753906199</v>
      </c>
      <c r="D897" s="4">
        <v>-6.1615726753543321E-3</v>
      </c>
    </row>
    <row r="898" spans="1:4" x14ac:dyDescent="0.35">
      <c r="A898" s="2">
        <v>45131</v>
      </c>
      <c r="B898">
        <v>191.29963684082</v>
      </c>
      <c r="D898" s="4">
        <v>4.2200909812697418E-3</v>
      </c>
    </row>
    <row r="899" spans="1:4" x14ac:dyDescent="0.35">
      <c r="A899" s="2">
        <v>45132</v>
      </c>
      <c r="B899">
        <v>192.16307067871</v>
      </c>
      <c r="D899" s="4">
        <v>4.5135153006508055E-3</v>
      </c>
    </row>
    <row r="900" spans="1:4" x14ac:dyDescent="0.35">
      <c r="A900" s="2">
        <v>45133</v>
      </c>
      <c r="B900">
        <v>193.03645324707</v>
      </c>
      <c r="D900" s="4">
        <v>4.5450073485777676E-3</v>
      </c>
    </row>
    <row r="901" spans="1:4" x14ac:dyDescent="0.35">
      <c r="A901" s="2">
        <v>45134</v>
      </c>
      <c r="B901">
        <v>191.76606750488199</v>
      </c>
      <c r="D901" s="4">
        <v>-6.58106653338697E-3</v>
      </c>
    </row>
    <row r="902" spans="1:4" x14ac:dyDescent="0.35">
      <c r="A902" s="2">
        <v>45135</v>
      </c>
      <c r="B902">
        <v>194.3564453125</v>
      </c>
      <c r="D902" s="4">
        <v>1.3508009218325734E-2</v>
      </c>
    </row>
    <row r="903" spans="1:4" x14ac:dyDescent="0.35">
      <c r="A903" s="2">
        <v>45138</v>
      </c>
      <c r="B903">
        <v>194.97178649902301</v>
      </c>
      <c r="D903" s="4">
        <v>3.1660446636263551E-3</v>
      </c>
    </row>
    <row r="904" spans="1:4" x14ac:dyDescent="0.35">
      <c r="A904" s="2">
        <v>45139</v>
      </c>
      <c r="B904">
        <v>194.138092041015</v>
      </c>
      <c r="D904" s="4">
        <v>-4.2759748627126948E-3</v>
      </c>
    </row>
    <row r="905" spans="1:4" x14ac:dyDescent="0.35">
      <c r="A905" s="2">
        <v>45140</v>
      </c>
      <c r="B905">
        <v>191.13090515136699</v>
      </c>
      <c r="D905" s="4">
        <v>-1.5489937384429942E-2</v>
      </c>
    </row>
    <row r="906" spans="1:4" x14ac:dyDescent="0.35">
      <c r="A906" s="2">
        <v>45141</v>
      </c>
      <c r="B906">
        <v>189.73149108886699</v>
      </c>
      <c r="D906" s="4">
        <v>-7.3217571035502083E-3</v>
      </c>
    </row>
    <row r="907" spans="1:4" x14ac:dyDescent="0.35">
      <c r="A907" s="2">
        <v>45142</v>
      </c>
      <c r="B907">
        <v>180.62059020996</v>
      </c>
      <c r="D907" s="4">
        <v>-4.8019971943611628E-2</v>
      </c>
    </row>
    <row r="908" spans="1:4" x14ac:dyDescent="0.35">
      <c r="A908" s="2">
        <v>45145</v>
      </c>
      <c r="B908">
        <v>177.50421142578099</v>
      </c>
      <c r="D908" s="4">
        <v>-1.7253729381331406E-2</v>
      </c>
    </row>
    <row r="909" spans="1:4" x14ac:dyDescent="0.35">
      <c r="A909" s="2">
        <v>45146</v>
      </c>
      <c r="B909">
        <v>178.44706726074199</v>
      </c>
      <c r="D909" s="4">
        <v>5.3117378308245033E-3</v>
      </c>
    </row>
    <row r="910" spans="1:4" x14ac:dyDescent="0.35">
      <c r="A910" s="2">
        <v>45147</v>
      </c>
      <c r="B910">
        <v>176.84918212890599</v>
      </c>
      <c r="D910" s="4">
        <v>-8.9543927864121908E-3</v>
      </c>
    </row>
    <row r="911" spans="1:4" x14ac:dyDescent="0.35">
      <c r="A911" s="2">
        <v>45148</v>
      </c>
      <c r="B911">
        <v>176.63082885742099</v>
      </c>
      <c r="D911" s="4">
        <v>-1.2346863517064266E-3</v>
      </c>
    </row>
    <row r="912" spans="1:4" x14ac:dyDescent="0.35">
      <c r="A912" s="2">
        <v>45149</v>
      </c>
      <c r="B912">
        <v>176.69047546386699</v>
      </c>
      <c r="D912" s="4">
        <v>3.3769080308254651E-4</v>
      </c>
    </row>
    <row r="913" spans="1:4" x14ac:dyDescent="0.35">
      <c r="A913" s="2">
        <v>45152</v>
      </c>
      <c r="B913">
        <v>178.35014343261699</v>
      </c>
      <c r="D913" s="4">
        <v>9.3930811176599072E-3</v>
      </c>
    </row>
    <row r="914" spans="1:4" x14ac:dyDescent="0.35">
      <c r="A914" s="2">
        <v>45153</v>
      </c>
      <c r="B914">
        <v>176.35255432128901</v>
      </c>
      <c r="D914" s="4">
        <v>-1.1200378496374452E-2</v>
      </c>
    </row>
    <row r="915" spans="1:4" x14ac:dyDescent="0.35">
      <c r="A915" s="2">
        <v>45154</v>
      </c>
      <c r="B915">
        <v>175.47801208496</v>
      </c>
      <c r="D915" s="4">
        <v>-4.9590562478369904E-3</v>
      </c>
    </row>
    <row r="916" spans="1:4" x14ac:dyDescent="0.35">
      <c r="A916" s="2">
        <v>45155</v>
      </c>
      <c r="B916">
        <v>172.923904418945</v>
      </c>
      <c r="D916" s="4">
        <v>-1.4555143608410592E-2</v>
      </c>
    </row>
    <row r="917" spans="1:4" x14ac:dyDescent="0.35">
      <c r="A917" s="2">
        <v>45156</v>
      </c>
      <c r="B917">
        <v>173.410873413085</v>
      </c>
      <c r="D917" s="4">
        <v>2.8160883584966712E-3</v>
      </c>
    </row>
    <row r="918" spans="1:4" x14ac:dyDescent="0.35">
      <c r="A918" s="2">
        <v>45159</v>
      </c>
      <c r="B918">
        <v>174.752517700195</v>
      </c>
      <c r="D918" s="4">
        <v>7.7367944737469774E-3</v>
      </c>
    </row>
    <row r="919" spans="1:4" x14ac:dyDescent="0.35">
      <c r="A919" s="2">
        <v>45160</v>
      </c>
      <c r="B919">
        <v>176.13392639160099</v>
      </c>
      <c r="D919" s="4">
        <v>7.9049429993103271E-3</v>
      </c>
    </row>
    <row r="920" spans="1:4" x14ac:dyDescent="0.35">
      <c r="A920" s="2">
        <v>45161</v>
      </c>
      <c r="B920">
        <v>179.99986267089801</v>
      </c>
      <c r="D920" s="4">
        <v>2.194884516854434E-2</v>
      </c>
    </row>
    <row r="921" spans="1:4" x14ac:dyDescent="0.35">
      <c r="A921" s="2">
        <v>45162</v>
      </c>
      <c r="B921">
        <v>175.28918457031199</v>
      </c>
      <c r="D921" s="4">
        <v>-2.6170453858616383E-2</v>
      </c>
    </row>
    <row r="922" spans="1:4" x14ac:dyDescent="0.35">
      <c r="A922" s="2">
        <v>45163</v>
      </c>
      <c r="B922">
        <v>177.50540161132801</v>
      </c>
      <c r="D922" s="4">
        <v>1.2643204693139731E-2</v>
      </c>
    </row>
    <row r="923" spans="1:4" x14ac:dyDescent="0.35">
      <c r="A923" s="2">
        <v>45166</v>
      </c>
      <c r="B923">
        <v>179.07563781738199</v>
      </c>
      <c r="D923" s="4">
        <v>8.8461319588022391E-3</v>
      </c>
    </row>
    <row r="924" spans="1:4" x14ac:dyDescent="0.35">
      <c r="A924" s="2">
        <v>45167</v>
      </c>
      <c r="B924">
        <v>182.98132324218699</v>
      </c>
      <c r="D924" s="4">
        <v>2.1810255556861113E-2</v>
      </c>
    </row>
    <row r="925" spans="1:4" x14ac:dyDescent="0.35">
      <c r="A925" s="2">
        <v>45168</v>
      </c>
      <c r="B925">
        <v>186.489501953125</v>
      </c>
      <c r="D925" s="4">
        <v>1.9172332174550499E-2</v>
      </c>
    </row>
    <row r="926" spans="1:4" x14ac:dyDescent="0.35">
      <c r="A926" s="2">
        <v>45169</v>
      </c>
      <c r="B926">
        <v>186.70811462402301</v>
      </c>
      <c r="D926" s="4">
        <v>1.1722518887575806E-3</v>
      </c>
    </row>
    <row r="927" spans="1:4" x14ac:dyDescent="0.35">
      <c r="A927" s="2">
        <v>45170</v>
      </c>
      <c r="B927">
        <v>188.288314819335</v>
      </c>
      <c r="D927" s="4">
        <v>8.4634789360604756E-3</v>
      </c>
    </row>
    <row r="928" spans="1:4" x14ac:dyDescent="0.35">
      <c r="A928" s="2">
        <v>45174</v>
      </c>
      <c r="B928">
        <v>188.52679443359301</v>
      </c>
      <c r="D928" s="4">
        <v>1.2665661939077477E-3</v>
      </c>
    </row>
    <row r="929" spans="1:4" x14ac:dyDescent="0.35">
      <c r="A929" s="2">
        <v>45175</v>
      </c>
      <c r="B929">
        <v>181.77880859375</v>
      </c>
      <c r="D929" s="4">
        <v>-3.5793245517787287E-2</v>
      </c>
    </row>
    <row r="930" spans="1:4" x14ac:dyDescent="0.35">
      <c r="A930" s="2">
        <v>45176</v>
      </c>
      <c r="B930">
        <v>176.46188354492099</v>
      </c>
      <c r="D930" s="4">
        <v>-2.9249421810831566E-2</v>
      </c>
    </row>
    <row r="931" spans="1:4" x14ac:dyDescent="0.35">
      <c r="A931" s="2">
        <v>45177</v>
      </c>
      <c r="B931">
        <v>177.07804870605401</v>
      </c>
      <c r="D931" s="4">
        <v>3.4917748170593121E-3</v>
      </c>
    </row>
    <row r="932" spans="1:4" x14ac:dyDescent="0.35">
      <c r="A932" s="2">
        <v>45180</v>
      </c>
      <c r="B932">
        <v>178.25076293945301</v>
      </c>
      <c r="D932" s="4">
        <v>6.6225838943239079E-3</v>
      </c>
    </row>
    <row r="933" spans="1:4" x14ac:dyDescent="0.35">
      <c r="A933" s="2">
        <v>45181</v>
      </c>
      <c r="B933">
        <v>175.20968627929599</v>
      </c>
      <c r="D933" s="4">
        <v>-1.706066560393904E-2</v>
      </c>
    </row>
    <row r="934" spans="1:4" x14ac:dyDescent="0.35">
      <c r="A934" s="2">
        <v>45182</v>
      </c>
      <c r="B934">
        <v>173.13262939453099</v>
      </c>
      <c r="D934" s="4">
        <v>-1.1854692105629505E-2</v>
      </c>
    </row>
    <row r="935" spans="1:4" x14ac:dyDescent="0.35">
      <c r="A935" s="2">
        <v>45183</v>
      </c>
      <c r="B935">
        <v>174.65315246582</v>
      </c>
      <c r="D935" s="4">
        <v>8.7824177141333504E-3</v>
      </c>
    </row>
    <row r="936" spans="1:4" x14ac:dyDescent="0.35">
      <c r="A936" s="2">
        <v>45184</v>
      </c>
      <c r="B936">
        <v>173.927642822265</v>
      </c>
      <c r="D936" s="4">
        <v>-4.1540025662977209E-3</v>
      </c>
    </row>
    <row r="937" spans="1:4" x14ac:dyDescent="0.35">
      <c r="A937" s="2">
        <v>45187</v>
      </c>
      <c r="B937">
        <v>176.86935424804599</v>
      </c>
      <c r="D937" s="4">
        <v>1.6913420880354746E-2</v>
      </c>
    </row>
    <row r="938" spans="1:4" x14ac:dyDescent="0.35">
      <c r="A938" s="2">
        <v>45188</v>
      </c>
      <c r="B938">
        <v>177.96257019042901</v>
      </c>
      <c r="D938" s="4">
        <v>6.1809234676679647E-3</v>
      </c>
    </row>
    <row r="939" spans="1:4" x14ac:dyDescent="0.35">
      <c r="A939" s="2">
        <v>45189</v>
      </c>
      <c r="B939">
        <v>174.404693603515</v>
      </c>
      <c r="D939" s="4">
        <v>-1.9992274685103117E-2</v>
      </c>
    </row>
    <row r="940" spans="1:4" x14ac:dyDescent="0.35">
      <c r="A940" s="2">
        <v>45190</v>
      </c>
      <c r="B940">
        <v>172.85433959960901</v>
      </c>
      <c r="D940" s="4">
        <v>-8.8894052784526112E-3</v>
      </c>
    </row>
    <row r="941" spans="1:4" x14ac:dyDescent="0.35">
      <c r="A941" s="2">
        <v>45191</v>
      </c>
      <c r="B941">
        <v>173.70899963378901</v>
      </c>
      <c r="D941" s="4">
        <v>4.9443944315177291E-3</v>
      </c>
    </row>
    <row r="942" spans="1:4" x14ac:dyDescent="0.35">
      <c r="A942" s="2">
        <v>45194</v>
      </c>
      <c r="B942">
        <v>174.99102783203099</v>
      </c>
      <c r="D942" s="4">
        <v>7.3803211171830085E-3</v>
      </c>
    </row>
    <row r="943" spans="1:4" x14ac:dyDescent="0.35">
      <c r="A943" s="2">
        <v>45195</v>
      </c>
      <c r="B943">
        <v>170.89653015136699</v>
      </c>
      <c r="D943" s="4">
        <v>-2.3398329225165715E-2</v>
      </c>
    </row>
    <row r="944" spans="1:4" x14ac:dyDescent="0.35">
      <c r="A944" s="2">
        <v>45196</v>
      </c>
      <c r="B944">
        <v>169.3759765625</v>
      </c>
      <c r="D944" s="4">
        <v>-8.8975100168516841E-3</v>
      </c>
    </row>
    <row r="945" spans="1:4" x14ac:dyDescent="0.35">
      <c r="A945" s="2">
        <v>45197</v>
      </c>
      <c r="B945">
        <v>169.63438415527301</v>
      </c>
      <c r="D945" s="4">
        <v>1.5256448878844253E-3</v>
      </c>
    </row>
    <row r="946" spans="1:4" x14ac:dyDescent="0.35">
      <c r="A946" s="2">
        <v>45198</v>
      </c>
      <c r="B946">
        <v>170.15116882324199</v>
      </c>
      <c r="D946" s="4">
        <v>3.0464617803895866E-3</v>
      </c>
    </row>
    <row r="947" spans="1:4" x14ac:dyDescent="0.35">
      <c r="A947" s="2">
        <v>45201</v>
      </c>
      <c r="B947">
        <v>172.67544555664</v>
      </c>
      <c r="D947" s="4">
        <v>1.4835494524403137E-2</v>
      </c>
    </row>
    <row r="948" spans="1:4" x14ac:dyDescent="0.35">
      <c r="A948" s="2">
        <v>45202</v>
      </c>
      <c r="B948">
        <v>171.33381652832</v>
      </c>
      <c r="D948" s="4">
        <v>-7.7696572549449394E-3</v>
      </c>
    </row>
    <row r="949" spans="1:4" x14ac:dyDescent="0.35">
      <c r="A949" s="2">
        <v>45203</v>
      </c>
      <c r="B949">
        <v>172.58599853515599</v>
      </c>
      <c r="D949" s="4">
        <v>7.3084346815388557E-3</v>
      </c>
    </row>
    <row r="950" spans="1:4" x14ac:dyDescent="0.35">
      <c r="A950" s="2">
        <v>45204</v>
      </c>
      <c r="B950">
        <v>173.82829284667901</v>
      </c>
      <c r="D950" s="4">
        <v>7.198117588142372E-3</v>
      </c>
    </row>
    <row r="951" spans="1:4" x14ac:dyDescent="0.35">
      <c r="A951" s="2">
        <v>45205</v>
      </c>
      <c r="B951">
        <v>176.392318725585</v>
      </c>
      <c r="D951" s="4">
        <v>1.4750336880817949E-2</v>
      </c>
    </row>
    <row r="952" spans="1:4" x14ac:dyDescent="0.35">
      <c r="A952" s="2">
        <v>45208</v>
      </c>
      <c r="B952">
        <v>177.883041381835</v>
      </c>
      <c r="D952" s="4">
        <v>8.4511767123438553E-3</v>
      </c>
    </row>
    <row r="953" spans="1:4" x14ac:dyDescent="0.35">
      <c r="A953" s="2">
        <v>45209</v>
      </c>
      <c r="B953">
        <v>177.28674316406199</v>
      </c>
      <c r="D953" s="4">
        <v>-3.3521926156694359E-3</v>
      </c>
    </row>
    <row r="954" spans="1:4" x14ac:dyDescent="0.35">
      <c r="A954" s="2">
        <v>45210</v>
      </c>
      <c r="B954">
        <v>178.68803405761699</v>
      </c>
      <c r="D954" s="4">
        <v>7.9040929318570097E-3</v>
      </c>
    </row>
    <row r="955" spans="1:4" x14ac:dyDescent="0.35">
      <c r="A955" s="2">
        <v>45211</v>
      </c>
      <c r="B955">
        <v>179.59242248535099</v>
      </c>
      <c r="D955" s="4">
        <v>5.0612702328034498E-3</v>
      </c>
    </row>
    <row r="956" spans="1:4" x14ac:dyDescent="0.35">
      <c r="A956" s="2">
        <v>45212</v>
      </c>
      <c r="B956">
        <v>177.743896484375</v>
      </c>
      <c r="D956" s="4">
        <v>-1.0292895298111948E-2</v>
      </c>
    </row>
    <row r="957" spans="1:4" x14ac:dyDescent="0.35">
      <c r="A957" s="2">
        <v>45215</v>
      </c>
      <c r="B957">
        <v>177.61473083496</v>
      </c>
      <c r="D957" s="4">
        <v>-7.2669527319801919E-4</v>
      </c>
    </row>
    <row r="958" spans="1:4" x14ac:dyDescent="0.35">
      <c r="A958" s="2">
        <v>45216</v>
      </c>
      <c r="B958">
        <v>176.054428100585</v>
      </c>
      <c r="D958" s="4">
        <v>-8.784759727079372E-3</v>
      </c>
    </row>
    <row r="959" spans="1:4" x14ac:dyDescent="0.35">
      <c r="A959" s="2">
        <v>45217</v>
      </c>
      <c r="B959">
        <v>174.752517700195</v>
      </c>
      <c r="D959" s="4">
        <v>-7.3949312973041748E-3</v>
      </c>
    </row>
    <row r="960" spans="1:4" x14ac:dyDescent="0.35">
      <c r="A960" s="2">
        <v>45218</v>
      </c>
      <c r="B960">
        <v>174.37489318847599</v>
      </c>
      <c r="D960" s="4">
        <v>-2.1609102786539491E-3</v>
      </c>
    </row>
    <row r="961" spans="1:4" x14ac:dyDescent="0.35">
      <c r="A961" s="2">
        <v>45219</v>
      </c>
      <c r="B961">
        <v>171.81082153320301</v>
      </c>
      <c r="D961" s="4">
        <v>-1.4704362585625019E-2</v>
      </c>
    </row>
    <row r="962" spans="1:4" x14ac:dyDescent="0.35">
      <c r="A962" s="2">
        <v>45222</v>
      </c>
      <c r="B962">
        <v>171.93009948730401</v>
      </c>
      <c r="D962" s="4">
        <v>6.9424005447715764E-4</v>
      </c>
    </row>
    <row r="963" spans="1:4" x14ac:dyDescent="0.35">
      <c r="A963" s="2">
        <v>45223</v>
      </c>
      <c r="B963">
        <v>172.36738586425699</v>
      </c>
      <c r="D963" s="4">
        <v>2.5433962887067008E-3</v>
      </c>
    </row>
    <row r="964" spans="1:4" x14ac:dyDescent="0.35">
      <c r="A964" s="2">
        <v>45224</v>
      </c>
      <c r="B964">
        <v>170.04185485839801</v>
      </c>
      <c r="D964" s="4">
        <v>-1.3491711289805086E-2</v>
      </c>
    </row>
    <row r="965" spans="1:4" x14ac:dyDescent="0.35">
      <c r="A965" s="2">
        <v>45225</v>
      </c>
      <c r="B965">
        <v>165.85787963867099</v>
      </c>
      <c r="D965" s="4">
        <v>-2.4605560926227343E-2</v>
      </c>
    </row>
    <row r="966" spans="1:4" x14ac:dyDescent="0.35">
      <c r="A966" s="2">
        <v>45226</v>
      </c>
      <c r="B966">
        <v>167.17964172363199</v>
      </c>
      <c r="D966" s="4">
        <v>7.9692450418424876E-3</v>
      </c>
    </row>
    <row r="967" spans="1:4" x14ac:dyDescent="0.35">
      <c r="A967" s="2">
        <v>45229</v>
      </c>
      <c r="B967">
        <v>169.23681640625</v>
      </c>
      <c r="D967" s="4">
        <v>1.2305174609829495E-2</v>
      </c>
    </row>
    <row r="968" spans="1:4" x14ac:dyDescent="0.35">
      <c r="A968" s="2">
        <v>45230</v>
      </c>
      <c r="B968">
        <v>169.71388244628901</v>
      </c>
      <c r="D968" s="4">
        <v>2.8189258706794451E-3</v>
      </c>
    </row>
    <row r="969" spans="1:4" x14ac:dyDescent="0.35">
      <c r="A969" s="2">
        <v>45231</v>
      </c>
      <c r="B969">
        <v>172.89410400390599</v>
      </c>
      <c r="D969" s="4">
        <v>1.8738723737720564E-2</v>
      </c>
    </row>
    <row r="970" spans="1:4" x14ac:dyDescent="0.35">
      <c r="A970" s="2">
        <v>45232</v>
      </c>
      <c r="B970">
        <v>176.47181701660099</v>
      </c>
      <c r="D970" s="4">
        <v>2.0693088600720388E-2</v>
      </c>
    </row>
    <row r="971" spans="1:4" x14ac:dyDescent="0.35">
      <c r="A971" s="2">
        <v>45233</v>
      </c>
      <c r="B971">
        <v>175.55751037597599</v>
      </c>
      <c r="D971" s="4">
        <v>-5.1810348875083179E-3</v>
      </c>
    </row>
    <row r="972" spans="1:4" x14ac:dyDescent="0.35">
      <c r="A972" s="2">
        <v>45236</v>
      </c>
      <c r="B972">
        <v>178.12156677246</v>
      </c>
      <c r="D972" s="4">
        <v>1.4605221907013854E-2</v>
      </c>
    </row>
    <row r="973" spans="1:4" x14ac:dyDescent="0.35">
      <c r="A973" s="2">
        <v>45237</v>
      </c>
      <c r="B973">
        <v>180.695541381835</v>
      </c>
      <c r="D973" s="4">
        <v>1.4450662297750272E-2</v>
      </c>
    </row>
    <row r="974" spans="1:4" x14ac:dyDescent="0.35">
      <c r="A974" s="2">
        <v>45238</v>
      </c>
      <c r="B974">
        <v>181.75892639160099</v>
      </c>
      <c r="D974" s="4">
        <v>5.8849543360834922E-3</v>
      </c>
    </row>
    <row r="975" spans="1:4" x14ac:dyDescent="0.35">
      <c r="A975" s="2">
        <v>45239</v>
      </c>
      <c r="B975">
        <v>181.28189086914</v>
      </c>
      <c r="D975" s="4">
        <v>-2.6245507273365831E-3</v>
      </c>
    </row>
    <row r="976" spans="1:4" x14ac:dyDescent="0.35">
      <c r="A976" s="2">
        <v>45240</v>
      </c>
      <c r="B976">
        <v>185.49127197265599</v>
      </c>
      <c r="D976" s="4">
        <v>2.3220086040224297E-2</v>
      </c>
    </row>
    <row r="977" spans="1:4" x14ac:dyDescent="0.35">
      <c r="A977" s="2">
        <v>45243</v>
      </c>
      <c r="B977">
        <v>183.89906311035099</v>
      </c>
      <c r="D977" s="4">
        <v>-8.5837400615793591E-3</v>
      </c>
    </row>
    <row r="978" spans="1:4" x14ac:dyDescent="0.35">
      <c r="A978" s="2">
        <v>45244</v>
      </c>
      <c r="B978">
        <v>186.52622985839801</v>
      </c>
      <c r="D978" s="4">
        <v>1.4285916978655555E-2</v>
      </c>
    </row>
    <row r="979" spans="1:4" x14ac:dyDescent="0.35">
      <c r="A979" s="2">
        <v>45245</v>
      </c>
      <c r="B979">
        <v>187.09342956542901</v>
      </c>
      <c r="D979" s="4">
        <v>3.0408576180496194E-3</v>
      </c>
    </row>
    <row r="980" spans="1:4" x14ac:dyDescent="0.35">
      <c r="A980" s="2">
        <v>45246</v>
      </c>
      <c r="B980">
        <v>188.78514099121</v>
      </c>
      <c r="D980" s="4">
        <v>9.0420675365801007E-3</v>
      </c>
    </row>
    <row r="981" spans="1:4" x14ac:dyDescent="0.35">
      <c r="A981" s="2">
        <v>45247</v>
      </c>
      <c r="B981">
        <v>188.76522827148401</v>
      </c>
      <c r="D981" s="4">
        <v>-1.0547821518924749E-4</v>
      </c>
    </row>
    <row r="982" spans="1:4" x14ac:dyDescent="0.35">
      <c r="A982" s="2">
        <v>45250</v>
      </c>
      <c r="B982">
        <v>190.51664733886699</v>
      </c>
      <c r="D982" s="4">
        <v>9.2782928477912474E-3</v>
      </c>
    </row>
    <row r="983" spans="1:4" x14ac:dyDescent="0.35">
      <c r="A983" s="2">
        <v>45251</v>
      </c>
      <c r="B983">
        <v>189.71058654785099</v>
      </c>
      <c r="D983" s="4">
        <v>-4.2309205115408366E-3</v>
      </c>
    </row>
    <row r="984" spans="1:4" x14ac:dyDescent="0.35">
      <c r="A984" s="2">
        <v>45252</v>
      </c>
      <c r="B984">
        <v>190.37733459472599</v>
      </c>
      <c r="D984" s="4">
        <v>3.5145537157823536E-3</v>
      </c>
    </row>
    <row r="985" spans="1:4" x14ac:dyDescent="0.35">
      <c r="A985" s="2">
        <v>45254</v>
      </c>
      <c r="B985">
        <v>189.04386901855401</v>
      </c>
      <c r="D985" s="4">
        <v>-7.0043294755158803E-3</v>
      </c>
    </row>
    <row r="986" spans="1:4" x14ac:dyDescent="0.35">
      <c r="A986" s="2">
        <v>45257</v>
      </c>
      <c r="B986">
        <v>188.86473083496</v>
      </c>
      <c r="D986" s="4">
        <v>-9.4760112837311006E-4</v>
      </c>
    </row>
    <row r="987" spans="1:4" x14ac:dyDescent="0.35">
      <c r="A987" s="2">
        <v>45258</v>
      </c>
      <c r="B987">
        <v>189.471755981445</v>
      </c>
      <c r="D987" s="4">
        <v>3.2140736060215502E-3</v>
      </c>
    </row>
    <row r="988" spans="1:4" x14ac:dyDescent="0.35">
      <c r="A988" s="2">
        <v>45259</v>
      </c>
      <c r="B988">
        <v>188.44680786132801</v>
      </c>
      <c r="D988" s="4">
        <v>-5.4095034629718652E-3</v>
      </c>
    </row>
    <row r="989" spans="1:4" x14ac:dyDescent="0.35">
      <c r="A989" s="2">
        <v>45260</v>
      </c>
      <c r="B989">
        <v>189.02397155761699</v>
      </c>
      <c r="D989" s="4">
        <v>3.0627406366772192E-3</v>
      </c>
    </row>
    <row r="990" spans="1:4" x14ac:dyDescent="0.35">
      <c r="A990" s="2">
        <v>45261</v>
      </c>
      <c r="B990">
        <v>190.30767822265599</v>
      </c>
      <c r="D990" s="4">
        <v>6.7912373994729602E-3</v>
      </c>
    </row>
    <row r="991" spans="1:4" x14ac:dyDescent="0.35">
      <c r="A991" s="2">
        <v>45264</v>
      </c>
      <c r="B991">
        <v>188.50648498535099</v>
      </c>
      <c r="D991" s="4">
        <v>-9.4646377598996967E-3</v>
      </c>
    </row>
    <row r="992" spans="1:4" x14ac:dyDescent="0.35">
      <c r="A992" s="2">
        <v>45265</v>
      </c>
      <c r="B992">
        <v>192.47705078125</v>
      </c>
      <c r="D992" s="4">
        <v>2.1063284884907496E-2</v>
      </c>
    </row>
    <row r="993" spans="1:6" x14ac:dyDescent="0.35">
      <c r="A993" s="2">
        <v>45266</v>
      </c>
      <c r="B993">
        <v>191.382400512695</v>
      </c>
      <c r="D993" s="4">
        <v>-5.6871729076889421E-3</v>
      </c>
    </row>
    <row r="994" spans="1:6" x14ac:dyDescent="0.35">
      <c r="A994" s="2">
        <v>45267</v>
      </c>
      <c r="B994">
        <v>193.32290649414</v>
      </c>
      <c r="D994" s="4">
        <v>1.0139417084572999E-2</v>
      </c>
    </row>
    <row r="995" spans="1:6" x14ac:dyDescent="0.35">
      <c r="A995" s="2">
        <v>45268</v>
      </c>
      <c r="B995">
        <v>194.75588989257801</v>
      </c>
      <c r="D995" s="4">
        <v>7.4123828594592212E-3</v>
      </c>
    </row>
    <row r="996" spans="1:6" x14ac:dyDescent="0.35">
      <c r="A996" s="2">
        <v>45271</v>
      </c>
      <c r="B996">
        <v>192.23822021484301</v>
      </c>
      <c r="D996" s="4">
        <v>-1.2927309562363876E-2</v>
      </c>
    </row>
    <row r="997" spans="1:6" x14ac:dyDescent="0.35">
      <c r="A997" s="2">
        <v>45272</v>
      </c>
      <c r="B997">
        <v>193.76078796386699</v>
      </c>
      <c r="D997" s="4">
        <v>7.9202135107283578E-3</v>
      </c>
    </row>
    <row r="998" spans="1:6" x14ac:dyDescent="0.35">
      <c r="A998" s="2">
        <v>45273</v>
      </c>
      <c r="B998">
        <v>196.99493408203099</v>
      </c>
      <c r="D998" s="4">
        <v>1.6691437685354193E-2</v>
      </c>
    </row>
    <row r="999" spans="1:6" x14ac:dyDescent="0.35">
      <c r="A999" s="2">
        <v>45274</v>
      </c>
      <c r="B999">
        <v>197.14419555664</v>
      </c>
      <c r="D999" s="4">
        <v>7.5769194423469521E-4</v>
      </c>
    </row>
    <row r="1000" spans="1:6" x14ac:dyDescent="0.35">
      <c r="A1000" s="2">
        <v>45275</v>
      </c>
      <c r="B1000">
        <v>196.60682678222599</v>
      </c>
      <c r="D1000" s="4">
        <v>-2.7257651329614108E-3</v>
      </c>
    </row>
    <row r="1001" spans="1:6" x14ac:dyDescent="0.35">
      <c r="A1001" s="2">
        <v>45278</v>
      </c>
      <c r="B1001">
        <v>194.93501281738199</v>
      </c>
      <c r="D1001" s="4">
        <v>-8.5033362890080122E-3</v>
      </c>
    </row>
    <row r="1002" spans="1:6" x14ac:dyDescent="0.35">
      <c r="A1002" s="2">
        <v>45279</v>
      </c>
      <c r="B1002">
        <v>195.979888916015</v>
      </c>
      <c r="D1002" s="4">
        <v>5.360125323468079E-3</v>
      </c>
    </row>
    <row r="1003" spans="1:6" x14ac:dyDescent="0.35">
      <c r="A1003" s="2">
        <v>45280</v>
      </c>
      <c r="B1003">
        <v>193.88018798828099</v>
      </c>
      <c r="D1003" s="4">
        <v>-1.0713859158445582E-2</v>
      </c>
    </row>
    <row r="1004" spans="1:6" x14ac:dyDescent="0.35">
      <c r="A1004" s="2">
        <v>45281</v>
      </c>
      <c r="B1004">
        <v>193.73089599609301</v>
      </c>
      <c r="D1004" s="4">
        <v>-7.7002190753505673E-4</v>
      </c>
      <c r="F1004" s="35"/>
    </row>
    <row r="1005" spans="1:6" x14ac:dyDescent="0.35">
      <c r="A1005" s="2">
        <v>45282</v>
      </c>
      <c r="B1005">
        <v>192.65617370605401</v>
      </c>
      <c r="D1005" s="4">
        <v>-5.5475007458835046E-3</v>
      </c>
    </row>
    <row r="1006" spans="1:6" x14ac:dyDescent="0.35">
      <c r="A1006" s="2">
        <v>45286</v>
      </c>
      <c r="B1006">
        <v>192.10887145996</v>
      </c>
      <c r="D1006" s="4">
        <v>-2.840823813562543E-3</v>
      </c>
    </row>
    <row r="1007" spans="1:6" x14ac:dyDescent="0.35">
      <c r="A1007" s="2">
        <v>45287</v>
      </c>
      <c r="B1007">
        <v>192.20835876464801</v>
      </c>
      <c r="D1007" s="4">
        <v>5.1786939318287928E-4</v>
      </c>
    </row>
    <row r="1008" spans="1:6" x14ac:dyDescent="0.35">
      <c r="A1008" s="2">
        <v>45288</v>
      </c>
      <c r="B1008">
        <v>192.63629150390599</v>
      </c>
      <c r="D1008" s="4">
        <v>2.2264002565153262E-3</v>
      </c>
      <c r="E1008" s="5"/>
    </row>
    <row r="1009" spans="1:4" x14ac:dyDescent="0.35">
      <c r="A1009" s="2">
        <v>45289</v>
      </c>
      <c r="B1009">
        <v>191.591384887695</v>
      </c>
      <c r="D1009" s="4">
        <v>-5.4242459094983042E-3</v>
      </c>
    </row>
    <row r="1010" spans="1:4" x14ac:dyDescent="0.35">
      <c r="A1010" s="2">
        <v>45293</v>
      </c>
      <c r="B1010">
        <v>184.73497009277301</v>
      </c>
      <c r="D1010" s="4">
        <v>-3.5786655015521807E-2</v>
      </c>
    </row>
    <row r="1011" spans="1:4" x14ac:dyDescent="0.35">
      <c r="A1011" s="2">
        <v>45294</v>
      </c>
      <c r="B1011">
        <v>183.35174560546801</v>
      </c>
      <c r="D1011" s="4">
        <v>-7.4876158347840782E-3</v>
      </c>
    </row>
    <row r="1012" spans="1:4" x14ac:dyDescent="0.35">
      <c r="A1012" s="2">
        <v>45295</v>
      </c>
      <c r="B1012">
        <v>181.02316284179599</v>
      </c>
      <c r="D1012" s="4">
        <v>-1.2700085052272159E-2</v>
      </c>
    </row>
    <row r="1013" spans="1:4" x14ac:dyDescent="0.35">
      <c r="A1013" s="2">
        <v>45296</v>
      </c>
      <c r="B1013">
        <v>180.29670715332</v>
      </c>
      <c r="D1013" s="4">
        <v>-4.0130537831275515E-3</v>
      </c>
    </row>
    <row r="1014" spans="1:4" x14ac:dyDescent="0.35">
      <c r="A1014" s="2">
        <v>45299</v>
      </c>
      <c r="B1014">
        <v>184.65536499023401</v>
      </c>
      <c r="D1014" s="4">
        <v>2.4174916479242858E-2</v>
      </c>
    </row>
    <row r="1015" spans="1:4" x14ac:dyDescent="0.35">
      <c r="A1015" s="2">
        <v>45300</v>
      </c>
      <c r="B1015">
        <v>184.23741149902301</v>
      </c>
      <c r="D1015" s="4">
        <v>-2.2634245760100313E-3</v>
      </c>
    </row>
    <row r="1016" spans="1:4" x14ac:dyDescent="0.35">
      <c r="A1016" s="2">
        <v>45301</v>
      </c>
      <c r="B1016">
        <v>185.28228759765599</v>
      </c>
      <c r="D1016" s="4">
        <v>5.671356811472128E-3</v>
      </c>
    </row>
    <row r="1017" spans="1:4" x14ac:dyDescent="0.35">
      <c r="A1017" s="2">
        <v>45302</v>
      </c>
      <c r="B1017">
        <v>184.68521118164</v>
      </c>
      <c r="D1017" s="4">
        <v>-3.2225229068444383E-3</v>
      </c>
    </row>
    <row r="1018" spans="1:4" x14ac:dyDescent="0.35">
      <c r="A1018" s="2">
        <v>45303</v>
      </c>
      <c r="B1018">
        <v>185.01361083984301</v>
      </c>
      <c r="D1018" s="4">
        <v>1.7781589337979575E-3</v>
      </c>
    </row>
    <row r="1019" spans="1:4" x14ac:dyDescent="0.35">
      <c r="A1019" s="2">
        <v>45307</v>
      </c>
      <c r="B1019">
        <v>182.73478698730401</v>
      </c>
      <c r="D1019" s="4">
        <v>-1.2317060578379113E-2</v>
      </c>
    </row>
    <row r="1020" spans="1:4" x14ac:dyDescent="0.35">
      <c r="A1020" s="2">
        <v>45308</v>
      </c>
      <c r="B1020">
        <v>181.78939819335901</v>
      </c>
      <c r="D1020" s="4">
        <v>-5.1735567678784511E-3</v>
      </c>
    </row>
    <row r="1021" spans="1:4" x14ac:dyDescent="0.35">
      <c r="A1021" s="2">
        <v>45309</v>
      </c>
      <c r="B1021">
        <v>187.71041870117099</v>
      </c>
      <c r="D1021" s="4">
        <v>3.257076906934997E-2</v>
      </c>
    </row>
    <row r="1022" spans="1:4" x14ac:dyDescent="0.35">
      <c r="A1022" s="2">
        <v>45310</v>
      </c>
      <c r="B1022">
        <v>190.62612915039</v>
      </c>
      <c r="D1022" s="4">
        <v>1.553302405585022E-2</v>
      </c>
    </row>
    <row r="1023" spans="1:4" x14ac:dyDescent="0.35">
      <c r="A1023" s="2">
        <v>45313</v>
      </c>
      <c r="B1023">
        <v>192.94476318359301</v>
      </c>
      <c r="D1023" s="4">
        <v>1.2163254027855563E-2</v>
      </c>
    </row>
    <row r="1024" spans="1:4" x14ac:dyDescent="0.35">
      <c r="A1024" s="2">
        <v>45314</v>
      </c>
      <c r="B1024">
        <v>194.22845458984301</v>
      </c>
      <c r="D1024" s="4">
        <v>6.6531549499921905E-3</v>
      </c>
    </row>
    <row r="1025" spans="1:4" x14ac:dyDescent="0.35">
      <c r="A1025" s="2">
        <v>45315</v>
      </c>
      <c r="B1025">
        <v>193.55178833007801</v>
      </c>
      <c r="D1025" s="4">
        <v>-3.4838678050234106E-3</v>
      </c>
    </row>
    <row r="1026" spans="1:4" x14ac:dyDescent="0.35">
      <c r="A1026" s="2">
        <v>45316</v>
      </c>
      <c r="B1026">
        <v>193.223373413085</v>
      </c>
      <c r="D1026" s="4">
        <v>-1.696780586872948E-3</v>
      </c>
    </row>
    <row r="1027" spans="1:4" x14ac:dyDescent="0.35">
      <c r="A1027" s="2">
        <v>45317</v>
      </c>
      <c r="B1027">
        <v>191.48190307617099</v>
      </c>
      <c r="D1027" s="4">
        <v>-9.0127312558143657E-3</v>
      </c>
    </row>
    <row r="1028" spans="1:4" x14ac:dyDescent="0.35">
      <c r="A1028" s="2">
        <v>45320</v>
      </c>
      <c r="B1028">
        <v>190.79530334472599</v>
      </c>
      <c r="D1028" s="4">
        <v>-3.5857160411231215E-3</v>
      </c>
    </row>
    <row r="1029" spans="1:4" x14ac:dyDescent="0.35">
      <c r="A1029" s="2">
        <v>45321</v>
      </c>
      <c r="B1029">
        <v>187.12326049804599</v>
      </c>
      <c r="D1029" s="4">
        <v>-1.9245981333436801E-2</v>
      </c>
    </row>
    <row r="1030" spans="1:4" x14ac:dyDescent="0.35">
      <c r="A1030" s="2">
        <v>45322</v>
      </c>
      <c r="B1030">
        <v>183.50102233886699</v>
      </c>
      <c r="D1030" s="4">
        <v>-1.9357498097981374E-2</v>
      </c>
    </row>
    <row r="1031" spans="1:4" x14ac:dyDescent="0.35">
      <c r="A1031" s="2">
        <v>45323</v>
      </c>
      <c r="B1031">
        <v>185.94903564453099</v>
      </c>
      <c r="D1031" s="4">
        <v>1.3340597640613128E-2</v>
      </c>
    </row>
    <row r="1032" spans="1:4" x14ac:dyDescent="0.35">
      <c r="A1032" s="2">
        <v>45324</v>
      </c>
      <c r="B1032">
        <v>184.94395446777301</v>
      </c>
      <c r="D1032" s="4">
        <v>-5.4051432602174598E-3</v>
      </c>
    </row>
    <row r="1033" spans="1:4" x14ac:dyDescent="0.35">
      <c r="A1033" s="2">
        <v>45327</v>
      </c>
      <c r="B1033">
        <v>186.76502990722599</v>
      </c>
      <c r="D1033" s="4">
        <v>9.8466340502647576E-3</v>
      </c>
    </row>
    <row r="1034" spans="1:4" x14ac:dyDescent="0.35">
      <c r="A1034" s="2">
        <v>45328</v>
      </c>
      <c r="B1034">
        <v>188.37715148925699</v>
      </c>
      <c r="D1034" s="4">
        <v>8.6318171171113622E-3</v>
      </c>
    </row>
    <row r="1035" spans="1:4" x14ac:dyDescent="0.35">
      <c r="A1035" s="2">
        <v>45329</v>
      </c>
      <c r="B1035">
        <v>188.48660278320301</v>
      </c>
      <c r="D1035" s="4">
        <v>5.8102213076649534E-4</v>
      </c>
    </row>
    <row r="1036" spans="1:4" x14ac:dyDescent="0.35">
      <c r="A1036" s="2">
        <v>45330</v>
      </c>
      <c r="B1036">
        <v>187.40191650390599</v>
      </c>
      <c r="D1036" s="4">
        <v>-5.7547128723234309E-3</v>
      </c>
    </row>
    <row r="1037" spans="1:4" x14ac:dyDescent="0.35">
      <c r="A1037" s="2">
        <v>45331</v>
      </c>
      <c r="B1037">
        <v>188.16914367675699</v>
      </c>
      <c r="D1037" s="4">
        <v>4.0940198860506261E-3</v>
      </c>
    </row>
    <row r="1038" spans="1:4" x14ac:dyDescent="0.35">
      <c r="A1038" s="2">
        <v>45334</v>
      </c>
      <c r="B1038">
        <v>186.47525024414</v>
      </c>
      <c r="D1038" s="4">
        <v>-9.0019723718720579E-3</v>
      </c>
    </row>
    <row r="1039" spans="1:4" x14ac:dyDescent="0.35">
      <c r="A1039" s="2">
        <v>45335</v>
      </c>
      <c r="B1039">
        <v>184.37286376953099</v>
      </c>
      <c r="D1039" s="4">
        <v>-1.1274345908406036E-2</v>
      </c>
    </row>
    <row r="1040" spans="1:4" x14ac:dyDescent="0.35">
      <c r="A1040" s="2">
        <v>45336</v>
      </c>
      <c r="B1040">
        <v>183.486068725585</v>
      </c>
      <c r="D1040" s="4">
        <v>-4.8097915594265128E-3</v>
      </c>
    </row>
    <row r="1041" spans="1:4" x14ac:dyDescent="0.35">
      <c r="A1041" s="2">
        <v>45337</v>
      </c>
      <c r="B1041">
        <v>183.19712829589801</v>
      </c>
      <c r="D1041" s="4">
        <v>-1.5747267991179648E-3</v>
      </c>
    </row>
    <row r="1042" spans="1:4" x14ac:dyDescent="0.35">
      <c r="A1042" s="2">
        <v>45338</v>
      </c>
      <c r="B1042">
        <v>181.65270996093699</v>
      </c>
      <c r="D1042" s="4">
        <v>-8.4303632340049228E-3</v>
      </c>
    </row>
    <row r="1043" spans="1:4" x14ac:dyDescent="0.35">
      <c r="A1043" s="2">
        <v>45342</v>
      </c>
      <c r="B1043">
        <v>180.90541076660099</v>
      </c>
      <c r="D1043" s="4">
        <v>-4.1138896000874059E-3</v>
      </c>
    </row>
    <row r="1044" spans="1:4" x14ac:dyDescent="0.35">
      <c r="A1044" s="2">
        <v>45343</v>
      </c>
      <c r="B1044">
        <v>181.66268920898401</v>
      </c>
      <c r="D1044" s="4">
        <v>4.1860463939358272E-3</v>
      </c>
    </row>
    <row r="1045" spans="1:4" x14ac:dyDescent="0.35">
      <c r="A1045" s="2">
        <v>45344</v>
      </c>
      <c r="B1045">
        <v>183.70526123046801</v>
      </c>
      <c r="D1045" s="4">
        <v>1.1243761888464876E-2</v>
      </c>
    </row>
    <row r="1046" spans="1:4" x14ac:dyDescent="0.35">
      <c r="A1046" s="2">
        <v>45345</v>
      </c>
      <c r="B1046">
        <v>181.86195373535099</v>
      </c>
      <c r="D1046" s="4">
        <v>-1.0034048468565593E-2</v>
      </c>
    </row>
    <row r="1047" spans="1:4" x14ac:dyDescent="0.35">
      <c r="A1047" s="2">
        <v>45348</v>
      </c>
      <c r="B1047">
        <v>180.50686645507801</v>
      </c>
      <c r="D1047" s="4">
        <v>-7.4511862016226615E-3</v>
      </c>
    </row>
    <row r="1048" spans="1:4" x14ac:dyDescent="0.35">
      <c r="A1048" s="2">
        <v>45349</v>
      </c>
      <c r="B1048">
        <v>181.97157287597599</v>
      </c>
      <c r="D1048" s="4">
        <v>8.1144083306243786E-3</v>
      </c>
    </row>
    <row r="1049" spans="1:4" x14ac:dyDescent="0.35">
      <c r="A1049" s="2">
        <v>45350</v>
      </c>
      <c r="B1049">
        <v>180.76593017578099</v>
      </c>
      <c r="D1049" s="4">
        <v>-6.6254452887358761E-3</v>
      </c>
    </row>
    <row r="1050" spans="1:4" x14ac:dyDescent="0.35">
      <c r="A1050" s="2">
        <v>45351</v>
      </c>
      <c r="B1050">
        <v>180.09834289550699</v>
      </c>
      <c r="D1050" s="4">
        <v>-3.6931034494432913E-3</v>
      </c>
    </row>
    <row r="1051" spans="1:4" x14ac:dyDescent="0.35">
      <c r="A1051" s="2">
        <v>45352</v>
      </c>
      <c r="B1051">
        <v>179.01226806640599</v>
      </c>
      <c r="D1051" s="4">
        <v>-6.0304543153466561E-3</v>
      </c>
    </row>
    <row r="1052" spans="1:4" x14ac:dyDescent="0.35">
      <c r="A1052" s="2">
        <v>45355</v>
      </c>
      <c r="B1052">
        <v>174.46870422363199</v>
      </c>
      <c r="D1052" s="4">
        <v>-2.5381298677744968E-2</v>
      </c>
    </row>
    <row r="1053" spans="1:4" x14ac:dyDescent="0.35">
      <c r="A1053" s="2">
        <v>45356</v>
      </c>
      <c r="B1053">
        <v>169.50666809082</v>
      </c>
      <c r="D1053" s="4">
        <v>-2.8440837884894821E-2</v>
      </c>
    </row>
    <row r="1054" spans="1:4" x14ac:dyDescent="0.35">
      <c r="A1054" s="2">
        <v>45357</v>
      </c>
      <c r="B1054">
        <v>168.51025390625</v>
      </c>
      <c r="D1054" s="4">
        <v>-5.8783185097834867E-3</v>
      </c>
    </row>
    <row r="1055" spans="1:4" x14ac:dyDescent="0.35">
      <c r="A1055" s="2">
        <v>45358</v>
      </c>
      <c r="B1055">
        <v>168.390701293945</v>
      </c>
      <c r="D1055" s="4">
        <v>-7.0946787826642321E-4</v>
      </c>
    </row>
    <row r="1056" spans="1:4" x14ac:dyDescent="0.35">
      <c r="A1056" s="2">
        <v>45359</v>
      </c>
      <c r="B1056">
        <v>170.11447143554599</v>
      </c>
      <c r="D1056" s="4">
        <v>1.0236729987791682E-2</v>
      </c>
    </row>
    <row r="1057" spans="1:4" x14ac:dyDescent="0.35">
      <c r="A1057" s="2">
        <v>45362</v>
      </c>
      <c r="B1057">
        <v>172.127182006835</v>
      </c>
      <c r="D1057" s="4">
        <v>1.183150706876579E-2</v>
      </c>
    </row>
    <row r="1058" spans="1:4" x14ac:dyDescent="0.35">
      <c r="A1058" s="2">
        <v>45363</v>
      </c>
      <c r="B1058">
        <v>172.60543823242099</v>
      </c>
      <c r="D1058" s="4">
        <v>2.7785049404167594E-3</v>
      </c>
    </row>
    <row r="1059" spans="1:4" x14ac:dyDescent="0.35">
      <c r="A1059" s="2">
        <v>45364</v>
      </c>
      <c r="B1059">
        <v>170.51303100585901</v>
      </c>
      <c r="D1059" s="4">
        <v>-1.2122487263376169E-2</v>
      </c>
    </row>
    <row r="1060" spans="1:4" x14ac:dyDescent="0.35">
      <c r="A1060" s="2">
        <v>45365</v>
      </c>
      <c r="B1060">
        <v>172.37626647949199</v>
      </c>
      <c r="D1060" s="4">
        <v>1.0927232145494958E-2</v>
      </c>
    </row>
    <row r="1061" spans="1:4" x14ac:dyDescent="0.35">
      <c r="A1061" s="2">
        <v>45366</v>
      </c>
      <c r="B1061">
        <v>171.99765014648401</v>
      </c>
      <c r="D1061" s="4">
        <v>-2.1964527991040761E-3</v>
      </c>
    </row>
    <row r="1062" spans="1:4" x14ac:dyDescent="0.35">
      <c r="A1062" s="2">
        <v>45369</v>
      </c>
      <c r="B1062">
        <v>173.09368896484301</v>
      </c>
      <c r="D1062" s="4">
        <v>6.3724057708087756E-3</v>
      </c>
    </row>
    <row r="1063" spans="1:4" x14ac:dyDescent="0.35">
      <c r="A1063" s="2">
        <v>45370</v>
      </c>
      <c r="B1063">
        <v>175.44519042968699</v>
      </c>
      <c r="D1063" s="4">
        <v>1.3585136921552277E-2</v>
      </c>
    </row>
    <row r="1064" spans="1:4" x14ac:dyDescent="0.35">
      <c r="A1064" s="2">
        <v>45371</v>
      </c>
      <c r="B1064">
        <v>178.02581787109301</v>
      </c>
      <c r="D1064" s="4">
        <v>1.4709023570755875E-2</v>
      </c>
    </row>
    <row r="1065" spans="1:4" x14ac:dyDescent="0.35">
      <c r="A1065" s="2">
        <v>45372</v>
      </c>
      <c r="B1065">
        <v>170.75215148925699</v>
      </c>
      <c r="D1065" s="4">
        <v>-4.0857368154897711E-2</v>
      </c>
    </row>
    <row r="1066" spans="1:4" x14ac:dyDescent="0.35">
      <c r="A1066" s="2">
        <v>45373</v>
      </c>
      <c r="B1066">
        <v>171.65885925292901</v>
      </c>
      <c r="D1066" s="4">
        <v>5.310081048841564E-3</v>
      </c>
    </row>
    <row r="1067" spans="1:4" x14ac:dyDescent="0.35">
      <c r="A1067" s="2">
        <v>45376</v>
      </c>
      <c r="B1067">
        <v>170.23403930664</v>
      </c>
      <c r="D1067" s="4">
        <v>-8.3002995155037063E-3</v>
      </c>
    </row>
    <row r="1068" spans="1:4" x14ac:dyDescent="0.35">
      <c r="A1068" s="2">
        <v>45377</v>
      </c>
      <c r="B1068">
        <v>169.09814453125</v>
      </c>
      <c r="D1068" s="4">
        <v>-6.6725478642020164E-3</v>
      </c>
    </row>
    <row r="1069" spans="1:4" x14ac:dyDescent="0.35">
      <c r="A1069" s="2">
        <v>45378</v>
      </c>
      <c r="B1069">
        <v>172.68515014648401</v>
      </c>
      <c r="D1069" s="4">
        <v>2.1212566377812214E-2</v>
      </c>
    </row>
    <row r="1070" spans="1:4" x14ac:dyDescent="0.35">
      <c r="A1070" s="2">
        <v>45379</v>
      </c>
      <c r="B1070">
        <v>170.86175537109301</v>
      </c>
      <c r="D1070" s="4">
        <v>-1.0559071083091176E-2</v>
      </c>
    </row>
    <row r="1071" spans="1:4" x14ac:dyDescent="0.35">
      <c r="A1071" s="2">
        <v>45383</v>
      </c>
      <c r="B1071">
        <v>169.4169921875</v>
      </c>
      <c r="D1071" s="4">
        <v>-8.4557435363762368E-3</v>
      </c>
    </row>
    <row r="1072" spans="1:4" x14ac:dyDescent="0.35">
      <c r="A1072" s="2">
        <v>45384</v>
      </c>
      <c r="B1072">
        <v>168.23127746582</v>
      </c>
      <c r="D1072" s="4">
        <v>-6.9987945504765836E-3</v>
      </c>
    </row>
    <row r="1073" spans="1:4" x14ac:dyDescent="0.35">
      <c r="A1073" s="2">
        <v>45385</v>
      </c>
      <c r="B1073">
        <v>169.03834533691401</v>
      </c>
      <c r="D1073" s="4">
        <v>4.7973711146429565E-3</v>
      </c>
    </row>
    <row r="1074" spans="1:4" x14ac:dyDescent="0.35">
      <c r="A1074" s="2">
        <v>45386</v>
      </c>
      <c r="B1074">
        <v>168.21136474609301</v>
      </c>
      <c r="D1074" s="4">
        <v>-4.8922662439265796E-3</v>
      </c>
    </row>
    <row r="1075" spans="1:4" x14ac:dyDescent="0.35">
      <c r="A1075" s="2">
        <v>45387</v>
      </c>
      <c r="B1075">
        <v>168.96859741210901</v>
      </c>
      <c r="D1075" s="4">
        <v>4.5016736363741039E-3</v>
      </c>
    </row>
    <row r="1076" spans="1:4" x14ac:dyDescent="0.35">
      <c r="A1076" s="2">
        <v>45390</v>
      </c>
      <c r="B1076">
        <v>167.842681884765</v>
      </c>
      <c r="D1076" s="4">
        <v>-6.66346022035047E-3</v>
      </c>
    </row>
    <row r="1077" spans="1:4" x14ac:dyDescent="0.35">
      <c r="A1077" s="2">
        <v>45391</v>
      </c>
      <c r="B1077">
        <v>169.05827331542901</v>
      </c>
      <c r="D1077" s="4">
        <v>7.242445229149741E-3</v>
      </c>
    </row>
    <row r="1078" spans="1:4" x14ac:dyDescent="0.35">
      <c r="A1078" s="2">
        <v>45392</v>
      </c>
      <c r="B1078">
        <v>167.17509460449199</v>
      </c>
      <c r="D1078" s="4">
        <v>-1.1139228350116825E-2</v>
      </c>
    </row>
    <row r="1079" spans="1:4" x14ac:dyDescent="0.35">
      <c r="A1079" s="2">
        <v>45393</v>
      </c>
      <c r="B1079">
        <v>174.408920288085</v>
      </c>
      <c r="D1079" s="4">
        <v>4.3270953132743983E-2</v>
      </c>
    </row>
    <row r="1080" spans="1:4" x14ac:dyDescent="0.35">
      <c r="A1080" s="2">
        <v>45394</v>
      </c>
      <c r="B1080">
        <v>175.913482666015</v>
      </c>
      <c r="D1080" s="4">
        <v>8.6266366160905328E-3</v>
      </c>
    </row>
    <row r="1081" spans="1:4" x14ac:dyDescent="0.35">
      <c r="A1081" s="2">
        <v>45397</v>
      </c>
      <c r="B1081">
        <v>172.06739807128901</v>
      </c>
      <c r="D1081" s="4">
        <v>-2.1863500946246783E-2</v>
      </c>
    </row>
    <row r="1082" spans="1:4" x14ac:dyDescent="0.35">
      <c r="A1082" s="2">
        <v>45398</v>
      </c>
      <c r="B1082">
        <v>168.76933288574199</v>
      </c>
      <c r="D1082" s="4">
        <v>-1.9167286903359781E-2</v>
      </c>
    </row>
    <row r="1083" spans="1:4" x14ac:dyDescent="0.35">
      <c r="A1083" s="2">
        <v>45399</v>
      </c>
      <c r="B1083">
        <v>167.39430236816401</v>
      </c>
      <c r="D1083" s="4">
        <v>-8.1473955846521617E-3</v>
      </c>
    </row>
    <row r="1084" spans="1:4" x14ac:dyDescent="0.35">
      <c r="A1084" s="2">
        <v>45400</v>
      </c>
      <c r="B1084">
        <v>166.437744140625</v>
      </c>
      <c r="D1084" s="4">
        <v>-5.7144013506216229E-3</v>
      </c>
    </row>
    <row r="1085" spans="1:4" x14ac:dyDescent="0.35">
      <c r="A1085" s="2">
        <v>45401</v>
      </c>
      <c r="B1085">
        <v>164.40512084960901</v>
      </c>
      <c r="D1085" s="4">
        <v>-1.2212514063508428E-2</v>
      </c>
    </row>
    <row r="1086" spans="1:4" x14ac:dyDescent="0.35">
      <c r="A1086" s="2">
        <v>45404</v>
      </c>
      <c r="B1086">
        <v>165.24208068847599</v>
      </c>
      <c r="D1086" s="4">
        <v>5.0908380136931441E-3</v>
      </c>
    </row>
    <row r="1087" spans="1:4" x14ac:dyDescent="0.35">
      <c r="A1087" s="2">
        <v>45405</v>
      </c>
      <c r="B1087">
        <v>166.29826354980401</v>
      </c>
      <c r="D1087" s="4">
        <v>6.3917305865881513E-3</v>
      </c>
    </row>
    <row r="1088" spans="1:4" x14ac:dyDescent="0.35">
      <c r="A1088" s="2">
        <v>45406</v>
      </c>
      <c r="B1088">
        <v>168.41062927246</v>
      </c>
      <c r="D1088" s="4">
        <v>1.270227167479332E-2</v>
      </c>
    </row>
    <row r="1089" spans="1:4" x14ac:dyDescent="0.35">
      <c r="A1089" s="2">
        <v>45407</v>
      </c>
      <c r="B1089">
        <v>169.27749633789</v>
      </c>
      <c r="D1089" s="4">
        <v>5.147341763253932E-3</v>
      </c>
    </row>
    <row r="1090" spans="1:4" x14ac:dyDescent="0.35">
      <c r="A1090" s="2">
        <v>45408</v>
      </c>
      <c r="B1090">
        <v>168.68962097167901</v>
      </c>
      <c r="D1090" s="4">
        <v>-3.47285007711573E-3</v>
      </c>
    </row>
    <row r="1091" spans="1:4" x14ac:dyDescent="0.35">
      <c r="A1091" s="2">
        <v>45411</v>
      </c>
      <c r="B1091">
        <v>172.87446594238199</v>
      </c>
      <c r="D1091" s="4">
        <v>2.4807957636027611E-2</v>
      </c>
    </row>
    <row r="1092" spans="1:4" x14ac:dyDescent="0.35">
      <c r="A1092" s="2">
        <v>45412</v>
      </c>
      <c r="B1092">
        <v>169.715896606445</v>
      </c>
      <c r="D1092" s="4">
        <v>-1.8270884128080089E-2</v>
      </c>
    </row>
    <row r="1093" spans="1:4" x14ac:dyDescent="0.35">
      <c r="A1093" s="2">
        <v>45413</v>
      </c>
      <c r="B1093">
        <v>168.68962097167901</v>
      </c>
      <c r="D1093" s="4">
        <v>-6.0470212589798233E-3</v>
      </c>
    </row>
    <row r="1094" spans="1:4" x14ac:dyDescent="0.35">
      <c r="A1094" s="2">
        <v>45414</v>
      </c>
      <c r="B1094">
        <v>172.40617370605401</v>
      </c>
      <c r="D1094" s="4">
        <v>2.2031899253594167E-2</v>
      </c>
    </row>
    <row r="1095" spans="1:4" x14ac:dyDescent="0.35">
      <c r="A1095" s="2">
        <v>45415</v>
      </c>
      <c r="B1095">
        <v>182.71885681152301</v>
      </c>
      <c r="D1095" s="4">
        <v>5.9816205439671366E-2</v>
      </c>
    </row>
    <row r="1096" spans="1:4" x14ac:dyDescent="0.35">
      <c r="A1096" s="2">
        <v>45418</v>
      </c>
      <c r="B1096">
        <v>181.05488586425699</v>
      </c>
      <c r="D1096" s="4">
        <v>-9.1067280974860276E-3</v>
      </c>
    </row>
    <row r="1097" spans="1:4" x14ac:dyDescent="0.35">
      <c r="A1097" s="2">
        <v>45419</v>
      </c>
      <c r="B1097">
        <v>181.74238586425699</v>
      </c>
      <c r="D1097" s="4">
        <v>3.7971910932879105E-3</v>
      </c>
    </row>
    <row r="1098" spans="1:4" x14ac:dyDescent="0.35">
      <c r="A1098" s="2">
        <v>45420</v>
      </c>
      <c r="B1098">
        <v>182.08117675781199</v>
      </c>
      <c r="D1098" s="4">
        <v>1.8641270276271715E-3</v>
      </c>
    </row>
    <row r="1099" spans="1:4" x14ac:dyDescent="0.35">
      <c r="A1099" s="2">
        <v>45421</v>
      </c>
      <c r="B1099">
        <v>183.90457153320301</v>
      </c>
      <c r="D1099" s="4">
        <v>1.0014186023283189E-2</v>
      </c>
    </row>
    <row r="1100" spans="1:4" x14ac:dyDescent="0.35">
      <c r="A1100" s="2">
        <v>45422</v>
      </c>
      <c r="B1100">
        <v>182.63742065429599</v>
      </c>
      <c r="D1100" s="4">
        <v>-6.8902630768927775E-3</v>
      </c>
    </row>
    <row r="1101" spans="1:4" x14ac:dyDescent="0.35">
      <c r="A1101" s="2">
        <v>45425</v>
      </c>
      <c r="B1101">
        <v>185.86015319824199</v>
      </c>
      <c r="D1101" s="4">
        <v>1.7645521560699873E-2</v>
      </c>
    </row>
    <row r="1102" spans="1:4" x14ac:dyDescent="0.35">
      <c r="A1102" s="2">
        <v>45426</v>
      </c>
      <c r="B1102">
        <v>187.007553100585</v>
      </c>
      <c r="D1102" s="4">
        <v>6.1734582835470952E-3</v>
      </c>
    </row>
    <row r="1103" spans="1:4" x14ac:dyDescent="0.35">
      <c r="A1103" s="2">
        <v>45427</v>
      </c>
      <c r="B1103">
        <v>189.29240417480401</v>
      </c>
      <c r="D1103" s="4">
        <v>1.2217961447739345E-2</v>
      </c>
    </row>
    <row r="1104" spans="1:4" x14ac:dyDescent="0.35">
      <c r="A1104" s="2">
        <v>45428</v>
      </c>
      <c r="B1104">
        <v>189.41212463378901</v>
      </c>
      <c r="D1104" s="4">
        <v>6.3246309067133133E-4</v>
      </c>
    </row>
    <row r="1105" spans="1:4" x14ac:dyDescent="0.35">
      <c r="A1105" s="2">
        <v>45429</v>
      </c>
      <c r="B1105">
        <v>189.44206237792901</v>
      </c>
      <c r="D1105" s="4">
        <v>1.5805611281693999E-4</v>
      </c>
    </row>
    <row r="1106" spans="1:4" x14ac:dyDescent="0.35">
      <c r="A1106" s="2">
        <v>45432</v>
      </c>
      <c r="B1106">
        <v>190.60942077636699</v>
      </c>
      <c r="D1106" s="4">
        <v>6.162086623134222E-3</v>
      </c>
    </row>
    <row r="1107" spans="1:4" x14ac:dyDescent="0.35">
      <c r="A1107" s="2">
        <v>45433</v>
      </c>
      <c r="B1107">
        <v>191.91647338867099</v>
      </c>
      <c r="D1107" s="4">
        <v>6.857229862932579E-3</v>
      </c>
    </row>
    <row r="1108" spans="1:4" x14ac:dyDescent="0.35">
      <c r="A1108" s="2">
        <v>45434</v>
      </c>
      <c r="B1108">
        <v>190.46974182128901</v>
      </c>
      <c r="D1108" s="4">
        <v>-7.5383396841189887E-3</v>
      </c>
    </row>
    <row r="1109" spans="1:4" x14ac:dyDescent="0.35">
      <c r="A1109" s="2">
        <v>45435</v>
      </c>
      <c r="B1109">
        <v>186.45880126953099</v>
      </c>
      <c r="D1109" s="4">
        <v>-2.1058150829654232E-2</v>
      </c>
    </row>
    <row r="1110" spans="1:4" x14ac:dyDescent="0.35">
      <c r="A1110" s="2">
        <v>45436</v>
      </c>
      <c r="B1110">
        <v>189.55180358886699</v>
      </c>
      <c r="D1110" s="4">
        <v>1.6588127233881478E-2</v>
      </c>
    </row>
    <row r="1111" spans="1:4" x14ac:dyDescent="0.35">
      <c r="A1111" s="2">
        <v>45440</v>
      </c>
      <c r="B1111">
        <v>189.56179809570301</v>
      </c>
      <c r="D1111" s="4">
        <v>5.2727046890632678E-5</v>
      </c>
    </row>
    <row r="1112" spans="1:4" x14ac:dyDescent="0.35">
      <c r="A1112" s="2">
        <v>45441</v>
      </c>
      <c r="B1112">
        <v>189.86111450195301</v>
      </c>
      <c r="D1112" s="4">
        <v>1.5789911746821872E-3</v>
      </c>
    </row>
    <row r="1113" spans="1:4" x14ac:dyDescent="0.35">
      <c r="A1113" s="2">
        <v>45442</v>
      </c>
      <c r="B1113">
        <v>190.85885620117099</v>
      </c>
      <c r="D1113" s="4">
        <v>5.2551134645726361E-3</v>
      </c>
    </row>
    <row r="1114" spans="1:4" x14ac:dyDescent="0.35">
      <c r="A1114" s="2">
        <v>45443</v>
      </c>
      <c r="B1114">
        <v>191.81669616699199</v>
      </c>
      <c r="D1114" s="4">
        <v>5.0185775231272878E-3</v>
      </c>
    </row>
    <row r="1115" spans="1:4" x14ac:dyDescent="0.35">
      <c r="A1115" s="2">
        <v>45446</v>
      </c>
      <c r="B1115">
        <v>193.59266662597599</v>
      </c>
      <c r="D1115" s="4">
        <v>9.2586854766691928E-3</v>
      </c>
    </row>
    <row r="1116" spans="1:4" x14ac:dyDescent="0.35">
      <c r="A1116" s="2">
        <v>45447</v>
      </c>
      <c r="B1116">
        <v>193.91195678710901</v>
      </c>
      <c r="D1116" s="4">
        <v>1.6492885123065015E-3</v>
      </c>
    </row>
    <row r="1117" spans="1:4" x14ac:dyDescent="0.35">
      <c r="A1117" s="2">
        <v>45448</v>
      </c>
      <c r="B1117">
        <v>195.42852783203099</v>
      </c>
      <c r="D1117" s="4">
        <v>7.8209258987933516E-3</v>
      </c>
    </row>
    <row r="1118" spans="1:4" x14ac:dyDescent="0.35">
      <c r="A1118" s="2">
        <v>45449</v>
      </c>
      <c r="B1118">
        <v>194.04165649414</v>
      </c>
      <c r="D1118" s="4">
        <v>-7.0965654465913186E-3</v>
      </c>
    </row>
    <row r="1119" spans="1:4" x14ac:dyDescent="0.35">
      <c r="A1119" s="2">
        <v>45450</v>
      </c>
      <c r="B1119">
        <v>196.44624328613199</v>
      </c>
      <c r="D1119" s="4">
        <v>1.239211639107296E-2</v>
      </c>
    </row>
    <row r="1120" spans="1:4" x14ac:dyDescent="0.35">
      <c r="A1120" s="2">
        <v>45453</v>
      </c>
      <c r="B1120">
        <v>192.68472290039</v>
      </c>
      <c r="D1120" s="4">
        <v>-1.914783567667E-2</v>
      </c>
    </row>
    <row r="1121" spans="1:4" x14ac:dyDescent="0.35">
      <c r="A1121" s="2">
        <v>45454</v>
      </c>
      <c r="B1121">
        <v>206.68310546875</v>
      </c>
      <c r="D1121" s="4">
        <v>7.2649156392105896E-2</v>
      </c>
    </row>
    <row r="1122" spans="1:4" x14ac:dyDescent="0.35">
      <c r="A1122" s="2">
        <v>45455</v>
      </c>
      <c r="B1122">
        <v>212.58978271484301</v>
      </c>
      <c r="D1122" s="4">
        <v>2.8578423150246834E-2</v>
      </c>
    </row>
    <row r="1123" spans="1:4" x14ac:dyDescent="0.35">
      <c r="A1123" s="2">
        <v>45456</v>
      </c>
      <c r="B1123">
        <v>213.75714111328099</v>
      </c>
      <c r="D1123" s="4">
        <v>5.4911312459631212E-3</v>
      </c>
    </row>
    <row r="1124" spans="1:4" x14ac:dyDescent="0.35">
      <c r="A1124" s="2">
        <v>45457</v>
      </c>
      <c r="B1124">
        <v>212.01107788085901</v>
      </c>
      <c r="D1124" s="4">
        <v>-8.1684439795939312E-3</v>
      </c>
    </row>
    <row r="1125" spans="1:4" x14ac:dyDescent="0.35">
      <c r="A1125" s="2">
        <v>45460</v>
      </c>
      <c r="B1125">
        <v>216.18165588378901</v>
      </c>
      <c r="D1125" s="4">
        <v>1.9671509831546086E-2</v>
      </c>
    </row>
    <row r="1126" spans="1:4" x14ac:dyDescent="0.35">
      <c r="A1126" s="2">
        <v>45461</v>
      </c>
      <c r="B1126">
        <v>213.80700683593699</v>
      </c>
      <c r="D1126" s="4">
        <v>-1.0984507626903062E-2</v>
      </c>
    </row>
    <row r="1127" spans="1:4" x14ac:dyDescent="0.35">
      <c r="A1127" s="2">
        <v>45463</v>
      </c>
      <c r="B1127">
        <v>209.20741271972599</v>
      </c>
      <c r="D1127" s="4">
        <v>-2.1512831521655618E-2</v>
      </c>
    </row>
    <row r="1128" spans="1:4" x14ac:dyDescent="0.35">
      <c r="A1128" s="2">
        <v>45464</v>
      </c>
      <c r="B1128">
        <v>207.02235412597599</v>
      </c>
      <c r="D1128" s="4">
        <v>-1.044446066869209E-2</v>
      </c>
    </row>
    <row r="1129" spans="1:4" x14ac:dyDescent="0.35">
      <c r="A1129" s="2">
        <v>45467</v>
      </c>
      <c r="B1129">
        <v>207.67086791992099</v>
      </c>
      <c r="D1129" s="4">
        <v>3.1325785888338675E-3</v>
      </c>
    </row>
    <row r="1130" spans="1:4" x14ac:dyDescent="0.35">
      <c r="A1130" s="2">
        <v>45468</v>
      </c>
      <c r="B1130">
        <v>208.59878540039</v>
      </c>
      <c r="D1130" s="4">
        <v>4.4682120788690494E-3</v>
      </c>
    </row>
    <row r="1131" spans="1:4" x14ac:dyDescent="0.35">
      <c r="A1131" s="2">
        <v>45469</v>
      </c>
      <c r="B1131">
        <v>212.76936340332</v>
      </c>
      <c r="D1131" s="4">
        <v>1.9993299553134447E-2</v>
      </c>
    </row>
    <row r="1132" spans="1:4" x14ac:dyDescent="0.35">
      <c r="A1132" s="2">
        <v>45470</v>
      </c>
      <c r="B1132">
        <v>213.61746215820301</v>
      </c>
      <c r="D1132" s="4">
        <v>3.9860003400742361E-3</v>
      </c>
    </row>
    <row r="1133" spans="1:4" x14ac:dyDescent="0.35">
      <c r="A1133" s="2">
        <v>45471</v>
      </c>
      <c r="B1133">
        <v>210.14527893066401</v>
      </c>
      <c r="D1133" s="4">
        <v>-1.6254210645792355E-2</v>
      </c>
    </row>
    <row r="1134" spans="1:4" x14ac:dyDescent="0.35">
      <c r="A1134" s="2">
        <v>45474</v>
      </c>
      <c r="B1134">
        <v>216.261474609375</v>
      </c>
      <c r="D1134" s="4">
        <v>2.9104606631343843E-2</v>
      </c>
    </row>
    <row r="1135" spans="1:4" x14ac:dyDescent="0.35">
      <c r="A1135" s="2">
        <v>45475</v>
      </c>
      <c r="B1135">
        <v>219.77354431152301</v>
      </c>
      <c r="D1135" s="4">
        <v>1.6239923030635595E-2</v>
      </c>
    </row>
    <row r="1136" spans="1:4" x14ac:dyDescent="0.35">
      <c r="A1136" s="2">
        <v>45476</v>
      </c>
      <c r="B1136">
        <v>221.05065917968699</v>
      </c>
      <c r="D1136" s="4">
        <v>5.8110491513652107E-3</v>
      </c>
    </row>
    <row r="1137" spans="1:4" x14ac:dyDescent="0.35">
      <c r="A1137" s="2">
        <v>45478</v>
      </c>
      <c r="B1137">
        <v>225.82984924316401</v>
      </c>
      <c r="D1137" s="4">
        <v>2.1620338438313125E-2</v>
      </c>
    </row>
    <row r="1138" spans="1:4" x14ac:dyDescent="0.35">
      <c r="A1138" s="2">
        <v>45481</v>
      </c>
      <c r="B1138">
        <v>227.30653381347599</v>
      </c>
      <c r="D1138" s="4">
        <v>6.5389255462060536E-3</v>
      </c>
    </row>
    <row r="1139" spans="1:4" x14ac:dyDescent="0.35">
      <c r="A1139" s="2">
        <v>45482</v>
      </c>
      <c r="B1139">
        <v>228.16458129882801</v>
      </c>
      <c r="D1139" s="4">
        <v>3.7748474316015024E-3</v>
      </c>
    </row>
    <row r="1140" spans="1:4" x14ac:dyDescent="0.35">
      <c r="A1140" s="2">
        <v>45483</v>
      </c>
      <c r="B1140">
        <v>232.45487976074199</v>
      </c>
      <c r="D1140" s="4">
        <v>1.8803525233809015E-2</v>
      </c>
    </row>
    <row r="1141" spans="1:4" x14ac:dyDescent="0.35">
      <c r="A1141" s="2">
        <v>45484</v>
      </c>
      <c r="B1141">
        <v>227.05709838867099</v>
      </c>
      <c r="D1141" s="4">
        <v>-2.322077031734826E-2</v>
      </c>
    </row>
    <row r="1142" spans="1:4" x14ac:dyDescent="0.35">
      <c r="A1142" s="2">
        <v>45485</v>
      </c>
      <c r="B1142">
        <v>230.02038574218699</v>
      </c>
      <c r="D1142" s="4">
        <v>1.3050846569189867E-2</v>
      </c>
    </row>
    <row r="1143" spans="1:4" x14ac:dyDescent="0.35">
      <c r="A1143" s="2">
        <v>45488</v>
      </c>
      <c r="B1143">
        <v>233.87168884277301</v>
      </c>
      <c r="D1143" s="4">
        <v>1.6743312068447036E-2</v>
      </c>
    </row>
    <row r="1144" spans="1:4" x14ac:dyDescent="0.35">
      <c r="A1144" s="2">
        <v>45489</v>
      </c>
      <c r="B1144">
        <v>234.290756225585</v>
      </c>
      <c r="D1144" s="4">
        <v>1.7918688015876594E-3</v>
      </c>
    </row>
    <row r="1145" spans="1:4" x14ac:dyDescent="0.35">
      <c r="A1145" s="2">
        <v>45490</v>
      </c>
      <c r="B1145">
        <v>228.36413574218699</v>
      </c>
      <c r="D1145" s="4">
        <v>-2.529600646169583E-2</v>
      </c>
    </row>
    <row r="1146" spans="1:4" x14ac:dyDescent="0.35">
      <c r="A1146" s="2">
        <v>45491</v>
      </c>
      <c r="B1146">
        <v>223.674713134765</v>
      </c>
      <c r="D1146" s="4">
        <v>-2.0534847086129737E-2</v>
      </c>
    </row>
    <row r="1147" spans="1:4" x14ac:dyDescent="0.35">
      <c r="A1147" s="2">
        <v>45492</v>
      </c>
      <c r="B1147">
        <v>223.804428100585</v>
      </c>
      <c r="D1147" s="4">
        <v>5.7992682320717748E-4</v>
      </c>
    </row>
    <row r="1148" spans="1:4" x14ac:dyDescent="0.35">
      <c r="A1148" s="2">
        <v>45495</v>
      </c>
      <c r="B1148">
        <v>223.45523071289</v>
      </c>
      <c r="D1148" s="4">
        <v>-1.5602791716795572E-3</v>
      </c>
    </row>
    <row r="1149" spans="1:4" x14ac:dyDescent="0.35">
      <c r="A1149" s="2">
        <v>45496</v>
      </c>
      <c r="B1149">
        <v>224.50285339355401</v>
      </c>
      <c r="D1149" s="4">
        <v>4.6882889128250227E-3</v>
      </c>
    </row>
    <row r="1150" spans="1:4" x14ac:dyDescent="0.35">
      <c r="A1150" s="2">
        <v>45497</v>
      </c>
      <c r="B1150">
        <v>218.04742431640599</v>
      </c>
      <c r="D1150" s="4">
        <v>-2.875432975380332E-2</v>
      </c>
    </row>
    <row r="1151" spans="1:4" x14ac:dyDescent="0.35">
      <c r="A1151" s="2">
        <v>45498</v>
      </c>
      <c r="B1151">
        <v>216.99981689453099</v>
      </c>
      <c r="D1151" s="4">
        <v>-4.8044934498049363E-3</v>
      </c>
    </row>
    <row r="1152" spans="1:4" x14ac:dyDescent="0.35">
      <c r="A1152" s="2">
        <v>45499</v>
      </c>
      <c r="B1152">
        <v>217.46875</v>
      </c>
      <c r="D1152" s="4">
        <v>2.1609838762994826E-3</v>
      </c>
    </row>
    <row r="1153" spans="1:4" x14ac:dyDescent="0.35">
      <c r="A1153" s="2">
        <v>45502</v>
      </c>
      <c r="B1153">
        <v>217.748123168945</v>
      </c>
      <c r="D1153" s="4">
        <v>1.2846589174075884E-3</v>
      </c>
    </row>
    <row r="1154" spans="1:4" x14ac:dyDescent="0.35">
      <c r="A1154" s="2">
        <v>45503</v>
      </c>
      <c r="B1154">
        <v>218.30685424804599</v>
      </c>
      <c r="D1154" s="4">
        <v>2.5659512971667464E-3</v>
      </c>
    </row>
    <row r="1155" spans="1:4" x14ac:dyDescent="0.35">
      <c r="A1155" s="2">
        <v>45504</v>
      </c>
      <c r="B1155">
        <v>221.57946777343699</v>
      </c>
      <c r="D1155" s="4">
        <v>1.4990887650611961E-2</v>
      </c>
    </row>
    <row r="1156" spans="1:4" x14ac:dyDescent="0.35">
      <c r="A1156" s="2">
        <v>45505</v>
      </c>
      <c r="B1156">
        <v>217.86784362792901</v>
      </c>
      <c r="D1156" s="4">
        <v>-1.6750758465143956E-2</v>
      </c>
    </row>
    <row r="1157" spans="1:4" x14ac:dyDescent="0.35">
      <c r="A1157" s="2">
        <v>45506</v>
      </c>
      <c r="B1157">
        <v>219.36445617675699</v>
      </c>
      <c r="D1157" s="4">
        <v>6.8693595342315117E-3</v>
      </c>
    </row>
    <row r="1158" spans="1:4" x14ac:dyDescent="0.35">
      <c r="A1158" s="2">
        <v>45509</v>
      </c>
      <c r="B1158">
        <v>208.79833984375</v>
      </c>
      <c r="D1158" s="4">
        <v>-4.8166947905603941E-2</v>
      </c>
    </row>
    <row r="1159" spans="1:4" x14ac:dyDescent="0.35">
      <c r="A1159" s="2">
        <v>45510</v>
      </c>
      <c r="B1159">
        <v>206.762924194335</v>
      </c>
      <c r="D1159" s="4">
        <v>-9.7482367481377397E-3</v>
      </c>
    </row>
    <row r="1160" spans="1:4" x14ac:dyDescent="0.35">
      <c r="A1160" s="2">
        <v>45511</v>
      </c>
      <c r="B1160">
        <v>209.34710693359301</v>
      </c>
      <c r="D1160" s="4">
        <v>1.2498288797798018E-2</v>
      </c>
    </row>
    <row r="1161" spans="1:4" x14ac:dyDescent="0.35">
      <c r="A1161" s="2">
        <v>45512</v>
      </c>
      <c r="B1161">
        <v>212.82922363281199</v>
      </c>
      <c r="D1161" s="4">
        <v>1.6633221018542921E-2</v>
      </c>
    </row>
    <row r="1162" spans="1:4" x14ac:dyDescent="0.35">
      <c r="A1162" s="2">
        <v>45513</v>
      </c>
      <c r="B1162">
        <v>215.75263977050699</v>
      </c>
      <c r="D1162" s="4">
        <v>1.3735971441303008E-2</v>
      </c>
    </row>
    <row r="1163" spans="1:4" x14ac:dyDescent="0.35">
      <c r="A1163" s="2">
        <v>45516</v>
      </c>
      <c r="B1163">
        <v>217.29093933105401</v>
      </c>
      <c r="D1163" s="4">
        <v>7.1299223137353263E-3</v>
      </c>
    </row>
    <row r="1164" spans="1:4" x14ac:dyDescent="0.35">
      <c r="A1164" s="2">
        <v>45517</v>
      </c>
      <c r="B1164">
        <v>221.02682495117099</v>
      </c>
      <c r="D1164" s="4">
        <v>1.7193011506223765E-2</v>
      </c>
    </row>
    <row r="1165" spans="1:4" x14ac:dyDescent="0.35">
      <c r="A1165" s="2">
        <v>45518</v>
      </c>
      <c r="B1165">
        <v>221.47633361816401</v>
      </c>
      <c r="D1165" s="4">
        <v>2.0337290149841092E-3</v>
      </c>
    </row>
    <row r="1166" spans="1:4" x14ac:dyDescent="0.35">
      <c r="A1166" s="2">
        <v>45519</v>
      </c>
      <c r="B1166">
        <v>224.47303771972599</v>
      </c>
      <c r="D1166" s="4">
        <v>1.3530583844359789E-2</v>
      </c>
    </row>
    <row r="1167" spans="1:4" x14ac:dyDescent="0.35">
      <c r="A1167" s="2">
        <v>45520</v>
      </c>
      <c r="B1167">
        <v>225.80157470703099</v>
      </c>
      <c r="D1167" s="4">
        <v>5.9184702127290656E-3</v>
      </c>
    </row>
    <row r="1168" spans="1:4" x14ac:dyDescent="0.35">
      <c r="A1168" s="2">
        <v>45523</v>
      </c>
      <c r="B1168">
        <v>225.64175415039</v>
      </c>
      <c r="D1168" s="4">
        <v>-7.0779203753723596E-4</v>
      </c>
    </row>
    <row r="1169" spans="1:4" x14ac:dyDescent="0.35">
      <c r="A1169" s="2">
        <v>45524</v>
      </c>
      <c r="B1169">
        <v>226.26106262207</v>
      </c>
      <c r="D1169" s="4">
        <v>2.7446536834987434E-3</v>
      </c>
    </row>
    <row r="1170" spans="1:4" x14ac:dyDescent="0.35">
      <c r="A1170" s="2">
        <v>45525</v>
      </c>
      <c r="B1170">
        <v>226.15118408203099</v>
      </c>
      <c r="D1170" s="4">
        <v>-4.8562726067691298E-4</v>
      </c>
    </row>
    <row r="1171" spans="1:4" x14ac:dyDescent="0.35">
      <c r="A1171" s="2">
        <v>45526</v>
      </c>
      <c r="B1171">
        <v>224.28324890136699</v>
      </c>
      <c r="D1171" s="4">
        <v>-8.2596745546397177E-3</v>
      </c>
    </row>
    <row r="1172" spans="1:4" x14ac:dyDescent="0.35">
      <c r="A1172" s="2">
        <v>45527</v>
      </c>
      <c r="B1172">
        <v>226.59069824218699</v>
      </c>
      <c r="D1172" s="4">
        <v>1.0288103780031976E-2</v>
      </c>
    </row>
    <row r="1173" spans="1:4" x14ac:dyDescent="0.35">
      <c r="A1173" s="2">
        <v>45530</v>
      </c>
      <c r="B1173">
        <v>226.93032836914</v>
      </c>
      <c r="D1173" s="4">
        <v>1.4988705608294239E-3</v>
      </c>
    </row>
    <row r="1174" spans="1:4" x14ac:dyDescent="0.35">
      <c r="A1174" s="2">
        <v>45531</v>
      </c>
      <c r="B1174">
        <v>227.77938842773401</v>
      </c>
      <c r="D1174" s="4">
        <v>3.7415010355639211E-3</v>
      </c>
    </row>
    <row r="1175" spans="1:4" x14ac:dyDescent="0.35">
      <c r="A1175" s="2">
        <v>45532</v>
      </c>
      <c r="B1175">
        <v>226.24108886718699</v>
      </c>
      <c r="D1175" s="4">
        <v>-6.7534625110957647E-3</v>
      </c>
    </row>
    <row r="1176" spans="1:4" x14ac:dyDescent="0.35">
      <c r="A1176" s="2">
        <v>45533</v>
      </c>
      <c r="B1176">
        <v>229.53746032714801</v>
      </c>
      <c r="D1176" s="4">
        <v>1.4570171477101379E-2</v>
      </c>
    </row>
    <row r="1177" spans="1:4" x14ac:dyDescent="0.35">
      <c r="A1177" s="2">
        <v>45534</v>
      </c>
      <c r="B1177">
        <v>228.74833679199199</v>
      </c>
      <c r="D1177" s="4">
        <v>-3.4378856245569356E-3</v>
      </c>
    </row>
    <row r="1178" spans="1:4" x14ac:dyDescent="0.35">
      <c r="A1178" s="2">
        <v>45538</v>
      </c>
      <c r="B1178">
        <v>222.52517700195301</v>
      </c>
      <c r="D1178" s="4">
        <v>-2.7205267925938581E-2</v>
      </c>
    </row>
    <row r="1179" spans="1:4" x14ac:dyDescent="0.35">
      <c r="A1179" s="2">
        <v>45539</v>
      </c>
      <c r="B1179">
        <v>220.60729980468699</v>
      </c>
      <c r="D1179" s="4">
        <v>-8.6186975474203953E-3</v>
      </c>
    </row>
    <row r="1180" spans="1:4" x14ac:dyDescent="0.35">
      <c r="A1180" s="2">
        <v>45540</v>
      </c>
      <c r="B1180">
        <v>222.13560485839801</v>
      </c>
      <c r="D1180" s="4">
        <v>6.9277175100919131E-3</v>
      </c>
    </row>
    <row r="1181" spans="1:4" x14ac:dyDescent="0.35">
      <c r="A1181" s="2">
        <v>45541</v>
      </c>
      <c r="B1181">
        <v>220.57733154296801</v>
      </c>
      <c r="D1181" s="4">
        <v>-7.0149641991130718E-3</v>
      </c>
    </row>
    <row r="1182" spans="1:4" x14ac:dyDescent="0.35">
      <c r="A1182" s="2">
        <v>45544</v>
      </c>
      <c r="B1182">
        <v>220.667221069335</v>
      </c>
      <c r="D1182" s="4">
        <v>4.0751933001548224E-4</v>
      </c>
    </row>
    <row r="1183" spans="1:4" x14ac:dyDescent="0.35">
      <c r="A1183" s="2">
        <v>45545</v>
      </c>
      <c r="B1183">
        <v>219.86810302734301</v>
      </c>
      <c r="D1183" s="4">
        <v>-3.6213717566185855E-3</v>
      </c>
    </row>
    <row r="1184" spans="1:4" x14ac:dyDescent="0.35">
      <c r="A1184" s="2">
        <v>45546</v>
      </c>
      <c r="B1184">
        <v>222.41529846191401</v>
      </c>
      <c r="D1184" s="4">
        <v>1.1585106704878445E-2</v>
      </c>
    </row>
    <row r="1185" spans="1:4" x14ac:dyDescent="0.35">
      <c r="A1185" s="2">
        <v>45547</v>
      </c>
      <c r="B1185">
        <v>222.52517700195301</v>
      </c>
      <c r="D1185" s="4">
        <v>4.9402420066813058E-4</v>
      </c>
    </row>
    <row r="1186" spans="1:4" x14ac:dyDescent="0.35">
      <c r="A1186" s="2">
        <v>45548</v>
      </c>
      <c r="B1186">
        <v>222.25547790527301</v>
      </c>
      <c r="D1186" s="4">
        <v>-1.211993628377761E-3</v>
      </c>
    </row>
    <row r="1187" spans="1:4" x14ac:dyDescent="0.35">
      <c r="A1187" s="2">
        <v>45551</v>
      </c>
      <c r="B1187">
        <v>216.082275390625</v>
      </c>
      <c r="D1187" s="4">
        <v>-2.7775254733109822E-2</v>
      </c>
    </row>
    <row r="1188" spans="1:4" x14ac:dyDescent="0.35">
      <c r="A1188" s="2">
        <v>45552</v>
      </c>
      <c r="B1188">
        <v>216.55174255371</v>
      </c>
      <c r="D1188" s="4">
        <v>2.1726315230452542E-3</v>
      </c>
    </row>
    <row r="1189" spans="1:4" x14ac:dyDescent="0.35">
      <c r="A1189" s="2">
        <v>45553</v>
      </c>
      <c r="B1189">
        <v>220.44746398925699</v>
      </c>
      <c r="D1189" s="4">
        <v>1.7989794908165102E-2</v>
      </c>
    </row>
    <row r="1190" spans="1:4" x14ac:dyDescent="0.35">
      <c r="A1190" s="2">
        <v>45554</v>
      </c>
      <c r="B1190">
        <v>228.61846923828099</v>
      </c>
      <c r="D1190" s="4">
        <v>3.7065544330426858E-2</v>
      </c>
    </row>
    <row r="1191" spans="1:4" x14ac:dyDescent="0.35">
      <c r="A1191" s="2">
        <v>45555</v>
      </c>
      <c r="B1191">
        <v>227.94920349121</v>
      </c>
      <c r="D1191" s="4">
        <v>-2.9274351687371691E-3</v>
      </c>
    </row>
    <row r="1192" spans="1:4" x14ac:dyDescent="0.35">
      <c r="A1192" s="2">
        <v>45558</v>
      </c>
      <c r="B1192">
        <v>226.22111511230401</v>
      </c>
      <c r="D1192" s="4">
        <v>-7.5810239844625871E-3</v>
      </c>
    </row>
    <row r="1193" spans="1:4" x14ac:dyDescent="0.35">
      <c r="A1193" s="2">
        <v>45559</v>
      </c>
      <c r="B1193">
        <v>227.1201171875</v>
      </c>
      <c r="D1193" s="4">
        <v>3.9739971874406255E-3</v>
      </c>
    </row>
    <row r="1194" spans="1:4" x14ac:dyDescent="0.35">
      <c r="A1194" s="2">
        <v>45560</v>
      </c>
      <c r="B1194">
        <v>226.12121582031199</v>
      </c>
      <c r="D1194" s="4">
        <v>-4.398119284005797E-3</v>
      </c>
    </row>
    <row r="1195" spans="1:4" x14ac:dyDescent="0.35">
      <c r="A1195" s="2">
        <v>45561</v>
      </c>
      <c r="B1195">
        <v>227.26995849609301</v>
      </c>
      <c r="D1195" s="4">
        <v>5.0802074082860749E-3</v>
      </c>
    </row>
    <row r="1196" spans="1:4" x14ac:dyDescent="0.35">
      <c r="A1196" s="2">
        <v>45562</v>
      </c>
      <c r="B1196">
        <v>227.53965759277301</v>
      </c>
      <c r="D1196" s="4">
        <v>1.1866904823878421E-3</v>
      </c>
    </row>
    <row r="1197" spans="1:4" x14ac:dyDescent="0.35">
      <c r="A1197" s="2">
        <v>45565</v>
      </c>
      <c r="B1197">
        <v>232.74394226074199</v>
      </c>
      <c r="D1197" s="4">
        <v>2.2871989538118642E-2</v>
      </c>
    </row>
    <row r="1198" spans="1:4" x14ac:dyDescent="0.35">
      <c r="A1198" s="2">
        <v>45566</v>
      </c>
      <c r="B1198">
        <v>225.96141052246</v>
      </c>
      <c r="D1198" s="4">
        <v>-2.9141603740146071E-2</v>
      </c>
    </row>
    <row r="1199" spans="1:4" x14ac:dyDescent="0.35">
      <c r="A1199" s="2">
        <v>45567</v>
      </c>
      <c r="B1199">
        <v>226.53077697753901</v>
      </c>
      <c r="D1199" s="4">
        <v>2.5197508449010808E-3</v>
      </c>
    </row>
    <row r="1200" spans="1:4" x14ac:dyDescent="0.35">
      <c r="A1200" s="2">
        <v>45568</v>
      </c>
      <c r="B1200">
        <v>225.42198181152301</v>
      </c>
      <c r="D1200" s="4">
        <v>-4.8946778040933614E-3</v>
      </c>
    </row>
    <row r="1201" spans="1:4" x14ac:dyDescent="0.35">
      <c r="A1201" s="2">
        <v>45569</v>
      </c>
      <c r="B1201">
        <v>226.55075073242099</v>
      </c>
      <c r="D1201" s="4">
        <v>5.0073595832449413E-3</v>
      </c>
    </row>
    <row r="1202" spans="1:4" x14ac:dyDescent="0.35">
      <c r="A1202" s="2">
        <v>45572</v>
      </c>
      <c r="B1202">
        <v>221.446365356445</v>
      </c>
      <c r="D1202" s="4">
        <v>-2.2530869394490671E-2</v>
      </c>
    </row>
    <row r="1203" spans="1:4" x14ac:dyDescent="0.35">
      <c r="A1203" s="2">
        <v>45573</v>
      </c>
      <c r="B1203">
        <v>225.521881103515</v>
      </c>
      <c r="D1203" s="4">
        <v>1.8404076041211859E-2</v>
      </c>
    </row>
    <row r="1204" spans="1:4" x14ac:dyDescent="0.35">
      <c r="A1204" s="2">
        <v>45574</v>
      </c>
      <c r="B1204">
        <v>229.28773498535099</v>
      </c>
      <c r="D1204" s="4">
        <v>1.6698396906805968E-2</v>
      </c>
    </row>
    <row r="1205" spans="1:4" x14ac:dyDescent="0.35">
      <c r="A1205" s="2">
        <v>45575</v>
      </c>
      <c r="B1205">
        <v>228.78828430175699</v>
      </c>
      <c r="D1205" s="4">
        <v>-2.1782703886272792E-3</v>
      </c>
    </row>
    <row r="1206" spans="1:4" x14ac:dyDescent="0.35">
      <c r="A1206" s="2">
        <v>45576</v>
      </c>
      <c r="B1206">
        <v>227.29992675781199</v>
      </c>
      <c r="D1206" s="4">
        <v>-6.5053923040130357E-3</v>
      </c>
    </row>
    <row r="1207" spans="1:4" x14ac:dyDescent="0.35">
      <c r="A1207" s="2">
        <v>45579</v>
      </c>
      <c r="B1207">
        <v>231.045806884765</v>
      </c>
      <c r="D1207" s="4">
        <v>1.6479900281464843E-2</v>
      </c>
    </row>
    <row r="1208" spans="1:4" x14ac:dyDescent="0.35">
      <c r="A1208" s="2">
        <v>45580</v>
      </c>
      <c r="B1208">
        <v>233.593002319335</v>
      </c>
      <c r="D1208" s="4">
        <v>1.1024633897988911E-2</v>
      </c>
    </row>
    <row r="1209" spans="1:4" x14ac:dyDescent="0.35">
      <c r="A1209" s="2">
        <v>45581</v>
      </c>
      <c r="B1209">
        <v>231.52526855468699</v>
      </c>
      <c r="D1209" s="4">
        <v>-8.8518651848196184E-3</v>
      </c>
    </row>
    <row r="1210" spans="1:4" x14ac:dyDescent="0.35">
      <c r="A1210" s="2">
        <v>45582</v>
      </c>
      <c r="B1210">
        <v>231.89486694335901</v>
      </c>
      <c r="D1210" s="4">
        <v>1.596363070775153E-3</v>
      </c>
    </row>
    <row r="1211" spans="1:4" x14ac:dyDescent="0.35">
      <c r="A1211" s="2">
        <v>45583</v>
      </c>
      <c r="B1211">
        <v>234.74172973632801</v>
      </c>
      <c r="D1211" s="4">
        <v>1.2276523540576623E-2</v>
      </c>
    </row>
    <row r="1212" spans="1:4" x14ac:dyDescent="0.35">
      <c r="A1212" s="2">
        <v>45586</v>
      </c>
      <c r="B1212">
        <v>236.22010803222599</v>
      </c>
      <c r="D1212" s="4">
        <v>6.2978929973744879E-3</v>
      </c>
    </row>
    <row r="1213" spans="1:4" x14ac:dyDescent="0.35">
      <c r="A1213" s="2">
        <v>45587</v>
      </c>
      <c r="B1213">
        <v>235.60079956054599</v>
      </c>
      <c r="D1213" s="4">
        <v>-2.6217432412464214E-3</v>
      </c>
    </row>
    <row r="1214" spans="1:4" x14ac:dyDescent="0.35">
      <c r="A1214" s="2">
        <v>45588</v>
      </c>
      <c r="B1214">
        <v>230.50639343261699</v>
      </c>
      <c r="D1214" s="4">
        <v>-2.1623042610344867E-2</v>
      </c>
    </row>
    <row r="1215" spans="1:4" x14ac:dyDescent="0.35">
      <c r="A1215" s="2">
        <v>45589</v>
      </c>
      <c r="B1215">
        <v>230.31661987304599</v>
      </c>
      <c r="D1215" s="4">
        <v>-8.2328978708556821E-4</v>
      </c>
    </row>
    <row r="1216" spans="1:4" x14ac:dyDescent="0.35">
      <c r="A1216" s="2">
        <v>45590</v>
      </c>
      <c r="B1216">
        <v>231.15568542480401</v>
      </c>
      <c r="D1216" s="4">
        <v>3.6430959790072492E-3</v>
      </c>
    </row>
    <row r="1217" spans="1:4" x14ac:dyDescent="0.35">
      <c r="A1217" s="2">
        <v>45593</v>
      </c>
      <c r="B1217">
        <v>233.14349365234301</v>
      </c>
      <c r="D1217" s="4">
        <v>8.5994347224724876E-3</v>
      </c>
    </row>
    <row r="1218" spans="1:4" x14ac:dyDescent="0.35">
      <c r="A1218" s="2">
        <v>45594</v>
      </c>
      <c r="B1218">
        <v>233.41319274902301</v>
      </c>
      <c r="D1218" s="4">
        <v>1.1567944378587658E-3</v>
      </c>
    </row>
    <row r="1219" spans="1:4" x14ac:dyDescent="0.35">
      <c r="A1219" s="2">
        <v>45595</v>
      </c>
      <c r="B1219">
        <v>229.84712219238199</v>
      </c>
      <c r="D1219" s="4">
        <v>-1.5277930585849253E-2</v>
      </c>
    </row>
    <row r="1220" spans="1:4" x14ac:dyDescent="0.35">
      <c r="A1220" s="2">
        <v>45596</v>
      </c>
      <c r="B1220">
        <v>225.66172790527301</v>
      </c>
      <c r="D1220" s="4">
        <v>-1.8209470047685916E-2</v>
      </c>
    </row>
    <row r="1221" spans="1:4" x14ac:dyDescent="0.35">
      <c r="A1221" s="2">
        <v>45597</v>
      </c>
      <c r="B1221">
        <v>222.66502380371</v>
      </c>
      <c r="D1221" s="4">
        <v>-1.3279629334492005E-2</v>
      </c>
    </row>
    <row r="1222" spans="1:4" x14ac:dyDescent="0.35">
      <c r="A1222" s="2">
        <v>45600</v>
      </c>
      <c r="B1222">
        <v>221.76600646972599</v>
      </c>
      <c r="D1222" s="4">
        <v>-4.0375327863639843E-3</v>
      </c>
    </row>
    <row r="1223" spans="1:4" x14ac:dyDescent="0.35">
      <c r="A1223" s="2">
        <v>45601</v>
      </c>
      <c r="B1223">
        <v>223.20442199707</v>
      </c>
      <c r="D1223" s="4">
        <v>6.4861858237068581E-3</v>
      </c>
    </row>
    <row r="1224" spans="1:4" x14ac:dyDescent="0.35">
      <c r="A1224" s="2">
        <v>45602</v>
      </c>
      <c r="B1224">
        <v>222.47523498535099</v>
      </c>
      <c r="D1224" s="4">
        <v>-3.2669021751217109E-3</v>
      </c>
    </row>
    <row r="1225" spans="1:4" x14ac:dyDescent="0.35">
      <c r="A1225" s="2">
        <v>45603</v>
      </c>
      <c r="B1225">
        <v>227.22999572753901</v>
      </c>
      <c r="D1225" s="4">
        <v>2.1372089987908405E-2</v>
      </c>
    </row>
    <row r="1226" spans="1:4" x14ac:dyDescent="0.35">
      <c r="A1226" s="2">
        <v>45604</v>
      </c>
      <c r="B1226">
        <v>226.96000671386699</v>
      </c>
      <c r="D1226" s="4">
        <v>-1.1881750594043838E-3</v>
      </c>
    </row>
    <row r="1227" spans="1:4" x14ac:dyDescent="0.35">
      <c r="A1227" s="2">
        <v>45607</v>
      </c>
      <c r="B1227">
        <v>224.22999572753901</v>
      </c>
      <c r="D1227" s="4">
        <v>-1.2028599337194024E-2</v>
      </c>
    </row>
    <row r="1228" spans="1:4" x14ac:dyDescent="0.35">
      <c r="A1228" s="2">
        <v>45608</v>
      </c>
      <c r="B1228">
        <v>224.22999572753901</v>
      </c>
      <c r="D1228" s="4">
        <v>0</v>
      </c>
    </row>
    <row r="1229" spans="1:4" x14ac:dyDescent="0.35">
      <c r="A1229" s="2">
        <v>45609</v>
      </c>
      <c r="B1229">
        <v>225.11999511718699</v>
      </c>
      <c r="D1229" s="4">
        <v>3.9691361843017248E-3</v>
      </c>
    </row>
    <row r="1230" spans="1:4" x14ac:dyDescent="0.35">
      <c r="A1230" s="2">
        <v>45610</v>
      </c>
      <c r="B1230">
        <v>228.22000122070301</v>
      </c>
      <c r="D1230" s="4">
        <v>1.3770460957509778E-2</v>
      </c>
    </row>
    <row r="1231" spans="1:4" x14ac:dyDescent="0.35">
      <c r="A1231" s="2">
        <v>45611</v>
      </c>
      <c r="B1231">
        <v>225</v>
      </c>
      <c r="D1231" s="4">
        <v>-1.4109198157391423E-2</v>
      </c>
    </row>
    <row r="1232" spans="1:4" x14ac:dyDescent="0.35">
      <c r="A1232" s="2">
        <v>45614</v>
      </c>
      <c r="B1232">
        <v>228.02000427246</v>
      </c>
      <c r="D1232" s="4">
        <v>1.3422241210933272E-2</v>
      </c>
    </row>
    <row r="1233" spans="1:4" x14ac:dyDescent="0.35">
      <c r="A1233" s="2">
        <v>45615</v>
      </c>
      <c r="B1233">
        <v>228.27999877929599</v>
      </c>
      <c r="D1233" s="4">
        <v>1.1402267431122048E-3</v>
      </c>
    </row>
    <row r="1234" spans="1:4" x14ac:dyDescent="0.35">
      <c r="A1234" s="2">
        <v>45616</v>
      </c>
      <c r="B1234">
        <v>229</v>
      </c>
      <c r="D1234" s="4">
        <v>3.1540267415197665E-3</v>
      </c>
    </row>
    <row r="1235" spans="1:4" x14ac:dyDescent="0.35">
      <c r="A1235" s="2">
        <v>45617</v>
      </c>
      <c r="B1235">
        <v>228.52000427246</v>
      </c>
      <c r="D1235" s="4">
        <v>-2.0960512119650998E-3</v>
      </c>
    </row>
    <row r="1236" spans="1:4" x14ac:dyDescent="0.35">
      <c r="A1236" s="2">
        <v>45618</v>
      </c>
      <c r="B1236">
        <v>229.86999511718699</v>
      </c>
      <c r="D1236" s="4">
        <v>5.9075390315388443E-3</v>
      </c>
    </row>
    <row r="1237" spans="1:4" x14ac:dyDescent="0.35">
      <c r="A1237" s="2">
        <v>45621</v>
      </c>
      <c r="B1237">
        <v>232.86999511718699</v>
      </c>
      <c r="D1237" s="4">
        <v>1.3050855108212911E-2</v>
      </c>
    </row>
    <row r="1238" spans="1:4" x14ac:dyDescent="0.35">
      <c r="A1238" s="2">
        <v>45622</v>
      </c>
      <c r="B1238">
        <v>235.05999755859301</v>
      </c>
      <c r="D1238" s="4">
        <v>9.4043993959116445E-3</v>
      </c>
    </row>
    <row r="1239" spans="1:4" x14ac:dyDescent="0.35">
      <c r="A1239" s="2">
        <v>45623</v>
      </c>
      <c r="B1239">
        <v>234.92999267578099</v>
      </c>
      <c r="D1239" s="4">
        <v>-5.5307106339785861E-4</v>
      </c>
    </row>
    <row r="1240" spans="1:4" x14ac:dyDescent="0.35">
      <c r="A1240" s="2">
        <v>45625</v>
      </c>
      <c r="B1240">
        <v>237.33000183105401</v>
      </c>
      <c r="D1240" s="4">
        <v>1.0215848253080084E-2</v>
      </c>
    </row>
    <row r="1241" spans="1:4" x14ac:dyDescent="0.35">
      <c r="A1241" s="2">
        <v>45628</v>
      </c>
      <c r="B1241">
        <v>239.58999633789</v>
      </c>
      <c r="D1241" s="4">
        <v>9.5225824354259192E-3</v>
      </c>
    </row>
    <row r="1242" spans="1:4" x14ac:dyDescent="0.35">
      <c r="A1242" s="2">
        <v>45629</v>
      </c>
      <c r="B1242">
        <v>242.64999389648401</v>
      </c>
      <c r="D1242" s="4">
        <v>1.277180852859372E-2</v>
      </c>
    </row>
    <row r="1243" spans="1:4" x14ac:dyDescent="0.35">
      <c r="A1243" s="2">
        <v>45630</v>
      </c>
      <c r="B1243">
        <v>243.009994506835</v>
      </c>
      <c r="D1243" s="4">
        <v>1.4836209330570949E-3</v>
      </c>
    </row>
    <row r="1244" spans="1:4" x14ac:dyDescent="0.35">
      <c r="A1244" s="2">
        <v>45631</v>
      </c>
      <c r="B1244">
        <v>243.03999328613199</v>
      </c>
      <c r="D1244" s="4">
        <v>1.2344668933428338E-4</v>
      </c>
    </row>
    <row r="1245" spans="1:4" x14ac:dyDescent="0.35">
      <c r="A1245" s="2">
        <v>45632</v>
      </c>
      <c r="B1245">
        <v>242.83999633789</v>
      </c>
      <c r="D1245" s="4">
        <v>-8.2289727520912237E-4</v>
      </c>
    </row>
    <row r="1246" spans="1:4" x14ac:dyDescent="0.35">
      <c r="A1246" s="2">
        <v>45635</v>
      </c>
      <c r="B1246">
        <v>246.75</v>
      </c>
      <c r="D1246" s="4">
        <v>1.6101151873967101E-2</v>
      </c>
    </row>
    <row r="1247" spans="1:4" x14ac:dyDescent="0.35">
      <c r="A1247" s="2">
        <v>45636</v>
      </c>
      <c r="B1247">
        <v>247.77000427246</v>
      </c>
      <c r="D1247" s="4">
        <v>4.1337559167577975E-3</v>
      </c>
    </row>
    <row r="1248" spans="1:4" x14ac:dyDescent="0.35">
      <c r="A1248" s="2">
        <v>45637</v>
      </c>
      <c r="B1248">
        <v>246.49000549316401</v>
      </c>
      <c r="D1248" s="4">
        <v>-5.1660764306580287E-3</v>
      </c>
    </row>
    <row r="1249" spans="1:4" x14ac:dyDescent="0.35">
      <c r="A1249" s="2">
        <v>45638</v>
      </c>
      <c r="B1249">
        <v>247.96000671386699</v>
      </c>
      <c r="D1249" s="4">
        <v>5.96373559959118E-3</v>
      </c>
    </row>
    <row r="1250" spans="1:4" x14ac:dyDescent="0.35">
      <c r="A1250" s="2">
        <v>45639</v>
      </c>
      <c r="B1250">
        <v>248.13000488281199</v>
      </c>
      <c r="D1250" s="4">
        <v>6.8558704767718304E-4</v>
      </c>
    </row>
    <row r="1251" spans="1:4" x14ac:dyDescent="0.35">
      <c r="A1251" s="2">
        <v>45642</v>
      </c>
      <c r="B1251">
        <v>251.03999328613199</v>
      </c>
      <c r="D1251" s="4">
        <v>1.1727676403723741E-2</v>
      </c>
    </row>
    <row r="1252" spans="1:4" x14ac:dyDescent="0.35">
      <c r="A1252" s="2">
        <v>45643</v>
      </c>
      <c r="B1252">
        <v>253.47999572753901</v>
      </c>
      <c r="D1252" s="4">
        <v>9.7195765880455642E-3</v>
      </c>
    </row>
    <row r="1253" spans="1:4" x14ac:dyDescent="0.35">
      <c r="A1253" s="2">
        <v>45644</v>
      </c>
      <c r="B1253">
        <v>248.05000305175699</v>
      </c>
      <c r="D1253" s="4">
        <v>-2.1421779893110893E-2</v>
      </c>
    </row>
    <row r="1254" spans="1:4" x14ac:dyDescent="0.35">
      <c r="A1254" s="2">
        <v>45645</v>
      </c>
      <c r="B1254">
        <v>249.78999328613199</v>
      </c>
      <c r="D1254" s="4">
        <v>7.0146753193627287E-3</v>
      </c>
    </row>
    <row r="1255" spans="1:4" x14ac:dyDescent="0.35">
      <c r="A1255" s="2">
        <v>45646</v>
      </c>
      <c r="B1255">
        <v>254.49000549316401</v>
      </c>
      <c r="D1255" s="4">
        <v>1.8815854651343944E-2</v>
      </c>
    </row>
    <row r="1256" spans="1:4" x14ac:dyDescent="0.35">
      <c r="A1256" s="2">
        <v>45649</v>
      </c>
      <c r="B1256">
        <v>255.27000427246</v>
      </c>
      <c r="D1256" s="4">
        <v>3.0649485734595139E-3</v>
      </c>
    </row>
    <row r="1257" spans="1:4" x14ac:dyDescent="0.35">
      <c r="A1257" s="2">
        <v>45650</v>
      </c>
      <c r="B1257">
        <v>258.20001220703102</v>
      </c>
      <c r="D1257" s="4">
        <v>1.1478073747527739E-2</v>
      </c>
    </row>
    <row r="1258" spans="1:4" x14ac:dyDescent="0.35">
      <c r="A1258" s="2">
        <v>45652</v>
      </c>
      <c r="B1258">
        <v>259.01998901367102</v>
      </c>
      <c r="D1258" s="4">
        <v>3.1757427105871816E-3</v>
      </c>
    </row>
    <row r="1259" spans="1:4" x14ac:dyDescent="0.35">
      <c r="A1259" s="2"/>
    </row>
    <row r="1260" spans="1:4" x14ac:dyDescent="0.35">
      <c r="A1260" s="2"/>
    </row>
    <row r="1261" spans="1:4" x14ac:dyDescent="0.35">
      <c r="A1261" s="2"/>
    </row>
    <row r="1262" spans="1:4" x14ac:dyDescent="0.35">
      <c r="A1262" s="2"/>
    </row>
    <row r="1263" spans="1:4" x14ac:dyDescent="0.35">
      <c r="A1263" s="2"/>
    </row>
    <row r="1264" spans="1:4" x14ac:dyDescent="0.35">
      <c r="A1264" s="2"/>
    </row>
    <row r="1265" spans="1:1" x14ac:dyDescent="0.35">
      <c r="A1265" s="2"/>
    </row>
    <row r="1266" spans="1:1" x14ac:dyDescent="0.35">
      <c r="A1266" s="2"/>
    </row>
    <row r="1267" spans="1:1" x14ac:dyDescent="0.35">
      <c r="A1267" s="2"/>
    </row>
    <row r="1268" spans="1:1" x14ac:dyDescent="0.35">
      <c r="A1268" s="2"/>
    </row>
    <row r="1269" spans="1:1" x14ac:dyDescent="0.35">
      <c r="A1269" s="2"/>
    </row>
    <row r="1270" spans="1:1" x14ac:dyDescent="0.35">
      <c r="A1270" s="2"/>
    </row>
    <row r="1271" spans="1:1" x14ac:dyDescent="0.35">
      <c r="A1271" s="2"/>
    </row>
    <row r="1272" spans="1:1" x14ac:dyDescent="0.35">
      <c r="A1272" s="2"/>
    </row>
    <row r="1273" spans="1:1" x14ac:dyDescent="0.35">
      <c r="A1273" s="2"/>
    </row>
    <row r="1274" spans="1:1" x14ac:dyDescent="0.35">
      <c r="A1274" s="2"/>
    </row>
    <row r="1275" spans="1:1" x14ac:dyDescent="0.35">
      <c r="A1275" s="2"/>
    </row>
    <row r="1276" spans="1:1" x14ac:dyDescent="0.35">
      <c r="A1276" s="2"/>
    </row>
    <row r="1277" spans="1:1" x14ac:dyDescent="0.35">
      <c r="A1277" s="2"/>
    </row>
    <row r="1278" spans="1:1" x14ac:dyDescent="0.35">
      <c r="A1278" s="2"/>
    </row>
    <row r="1279" spans="1:1" x14ac:dyDescent="0.35">
      <c r="A1279" s="2"/>
    </row>
    <row r="1280" spans="1:1" x14ac:dyDescent="0.35">
      <c r="A1280" s="2"/>
    </row>
    <row r="1281" spans="1:1" x14ac:dyDescent="0.35">
      <c r="A1281" s="2"/>
    </row>
    <row r="1282" spans="1:1" x14ac:dyDescent="0.35">
      <c r="A1282" s="2"/>
    </row>
    <row r="1283" spans="1:1" x14ac:dyDescent="0.35">
      <c r="A1283" s="2"/>
    </row>
    <row r="1284" spans="1:1" x14ac:dyDescent="0.35">
      <c r="A1284" s="2"/>
    </row>
    <row r="1285" spans="1:1" x14ac:dyDescent="0.35">
      <c r="A1285" s="2"/>
    </row>
    <row r="1286" spans="1:1" x14ac:dyDescent="0.35">
      <c r="A1286" s="2"/>
    </row>
    <row r="1287" spans="1:1" x14ac:dyDescent="0.35">
      <c r="A1287" s="2"/>
    </row>
    <row r="1288" spans="1:1" x14ac:dyDescent="0.35">
      <c r="A1288" s="2"/>
    </row>
    <row r="1289" spans="1:1" x14ac:dyDescent="0.35">
      <c r="A1289" s="2"/>
    </row>
    <row r="1290" spans="1:1" x14ac:dyDescent="0.35">
      <c r="A1290" s="2"/>
    </row>
    <row r="1291" spans="1:1" x14ac:dyDescent="0.35">
      <c r="A1291" s="2"/>
    </row>
    <row r="1292" spans="1:1" x14ac:dyDescent="0.35">
      <c r="A1292" s="2"/>
    </row>
    <row r="1293" spans="1:1" x14ac:dyDescent="0.35">
      <c r="A1293" s="2"/>
    </row>
    <row r="1294" spans="1:1" x14ac:dyDescent="0.35">
      <c r="A1294" s="2"/>
    </row>
    <row r="1295" spans="1:1" x14ac:dyDescent="0.35">
      <c r="A1295" s="2"/>
    </row>
    <row r="1296" spans="1:1" x14ac:dyDescent="0.35">
      <c r="A1296" s="2"/>
    </row>
    <row r="1297" spans="1:1" x14ac:dyDescent="0.35">
      <c r="A1297" s="2"/>
    </row>
    <row r="1298" spans="1:1" x14ac:dyDescent="0.35">
      <c r="A1298" s="2"/>
    </row>
    <row r="1299" spans="1:1" x14ac:dyDescent="0.35">
      <c r="A1299" s="2"/>
    </row>
    <row r="1300" spans="1:1" x14ac:dyDescent="0.35">
      <c r="A1300" s="2"/>
    </row>
    <row r="1301" spans="1:1" x14ac:dyDescent="0.35">
      <c r="A1301" s="2"/>
    </row>
    <row r="1302" spans="1:1" x14ac:dyDescent="0.35">
      <c r="A1302" s="2"/>
    </row>
    <row r="1303" spans="1:1" x14ac:dyDescent="0.35">
      <c r="A1303" s="2"/>
    </row>
    <row r="1304" spans="1:1" x14ac:dyDescent="0.35">
      <c r="A1304" s="2"/>
    </row>
    <row r="1305" spans="1:1" x14ac:dyDescent="0.35">
      <c r="A1305" s="2"/>
    </row>
    <row r="1306" spans="1:1" x14ac:dyDescent="0.35">
      <c r="A1306" s="2"/>
    </row>
    <row r="1307" spans="1:1" x14ac:dyDescent="0.35">
      <c r="A1307" s="2"/>
    </row>
    <row r="1308" spans="1:1" x14ac:dyDescent="0.35">
      <c r="A1308" s="2"/>
    </row>
    <row r="1309" spans="1:1" x14ac:dyDescent="0.35">
      <c r="A1309" s="2"/>
    </row>
    <row r="1310" spans="1:1" x14ac:dyDescent="0.35">
      <c r="A1310" s="2"/>
    </row>
    <row r="1311" spans="1:1" x14ac:dyDescent="0.35">
      <c r="A1311" s="2"/>
    </row>
    <row r="1312" spans="1:1" x14ac:dyDescent="0.35">
      <c r="A1312" s="2"/>
    </row>
    <row r="1313" spans="1:1" x14ac:dyDescent="0.35">
      <c r="A1313" s="2"/>
    </row>
    <row r="1314" spans="1:1" x14ac:dyDescent="0.35">
      <c r="A1314" s="2"/>
    </row>
    <row r="1315" spans="1:1" x14ac:dyDescent="0.35">
      <c r="A1315" s="2"/>
    </row>
    <row r="1316" spans="1:1" x14ac:dyDescent="0.35">
      <c r="A1316" s="2"/>
    </row>
    <row r="1317" spans="1:1" x14ac:dyDescent="0.35">
      <c r="A1317" s="2"/>
    </row>
    <row r="1318" spans="1:1" x14ac:dyDescent="0.35">
      <c r="A1318" s="2"/>
    </row>
    <row r="1319" spans="1:1" x14ac:dyDescent="0.35">
      <c r="A1319" s="2"/>
    </row>
    <row r="1320" spans="1:1" x14ac:dyDescent="0.35">
      <c r="A1320" s="2"/>
    </row>
    <row r="1321" spans="1:1" x14ac:dyDescent="0.35">
      <c r="A1321" s="2"/>
    </row>
    <row r="1322" spans="1:1" x14ac:dyDescent="0.35">
      <c r="A1322" s="2"/>
    </row>
    <row r="1323" spans="1:1" x14ac:dyDescent="0.35">
      <c r="A1323" s="2"/>
    </row>
    <row r="1324" spans="1:1" x14ac:dyDescent="0.35">
      <c r="A1324" s="2"/>
    </row>
    <row r="1325" spans="1:1" x14ac:dyDescent="0.35">
      <c r="A1325" s="2"/>
    </row>
    <row r="1326" spans="1:1" x14ac:dyDescent="0.35">
      <c r="A1326" s="2"/>
    </row>
    <row r="1327" spans="1:1" x14ac:dyDescent="0.35">
      <c r="A1327" s="2"/>
    </row>
    <row r="1328" spans="1:1" x14ac:dyDescent="0.35">
      <c r="A1328" s="2"/>
    </row>
    <row r="1329" spans="1:1" x14ac:dyDescent="0.35">
      <c r="A1329" s="2"/>
    </row>
    <row r="1330" spans="1:1" x14ac:dyDescent="0.35">
      <c r="A1330" s="2"/>
    </row>
    <row r="1331" spans="1:1" x14ac:dyDescent="0.35">
      <c r="A1331" s="2"/>
    </row>
    <row r="1332" spans="1:1" x14ac:dyDescent="0.35">
      <c r="A1332" s="2"/>
    </row>
    <row r="1333" spans="1:1" x14ac:dyDescent="0.35">
      <c r="A1333" s="2"/>
    </row>
    <row r="1334" spans="1:1" x14ac:dyDescent="0.35">
      <c r="A1334" s="2"/>
    </row>
    <row r="1335" spans="1:1" x14ac:dyDescent="0.35">
      <c r="A1335" s="2"/>
    </row>
    <row r="1336" spans="1:1" x14ac:dyDescent="0.35">
      <c r="A1336" s="2"/>
    </row>
    <row r="1337" spans="1:1" x14ac:dyDescent="0.35">
      <c r="A1337" s="2"/>
    </row>
    <row r="1338" spans="1:1" x14ac:dyDescent="0.35">
      <c r="A1338" s="2"/>
    </row>
    <row r="1339" spans="1:1" x14ac:dyDescent="0.35">
      <c r="A1339" s="2"/>
    </row>
    <row r="1340" spans="1:1" x14ac:dyDescent="0.35">
      <c r="A1340" s="2"/>
    </row>
    <row r="1341" spans="1:1" x14ac:dyDescent="0.35">
      <c r="A1341" s="2"/>
    </row>
    <row r="1342" spans="1:1" x14ac:dyDescent="0.35">
      <c r="A1342" s="2"/>
    </row>
    <row r="1343" spans="1:1" x14ac:dyDescent="0.35">
      <c r="A1343" s="2"/>
    </row>
    <row r="1344" spans="1:1" x14ac:dyDescent="0.35">
      <c r="A1344" s="2"/>
    </row>
    <row r="1345" spans="1:1" x14ac:dyDescent="0.35">
      <c r="A1345" s="2"/>
    </row>
    <row r="1346" spans="1:1" x14ac:dyDescent="0.35">
      <c r="A1346" s="2"/>
    </row>
    <row r="1347" spans="1:1" x14ac:dyDescent="0.35">
      <c r="A1347" s="2"/>
    </row>
    <row r="1348" spans="1:1" x14ac:dyDescent="0.35">
      <c r="A1348" s="2"/>
    </row>
    <row r="1349" spans="1:1" x14ac:dyDescent="0.35">
      <c r="A1349" s="2"/>
    </row>
    <row r="1350" spans="1:1" x14ac:dyDescent="0.35">
      <c r="A1350" s="2"/>
    </row>
    <row r="1351" spans="1:1" x14ac:dyDescent="0.35">
      <c r="A1351" s="2"/>
    </row>
    <row r="1352" spans="1:1" x14ac:dyDescent="0.35">
      <c r="A1352" s="2"/>
    </row>
    <row r="1353" spans="1:1" x14ac:dyDescent="0.35">
      <c r="A1353" s="2"/>
    </row>
    <row r="1354" spans="1:1" x14ac:dyDescent="0.35">
      <c r="A1354" s="2"/>
    </row>
    <row r="1355" spans="1:1" x14ac:dyDescent="0.35">
      <c r="A1355" s="2"/>
    </row>
    <row r="1356" spans="1:1" x14ac:dyDescent="0.35">
      <c r="A1356" s="2"/>
    </row>
    <row r="1357" spans="1:1" x14ac:dyDescent="0.35">
      <c r="A1357" s="2"/>
    </row>
    <row r="1358" spans="1:1" x14ac:dyDescent="0.35">
      <c r="A1358" s="2"/>
    </row>
    <row r="1359" spans="1:1" x14ac:dyDescent="0.35">
      <c r="A1359" s="2"/>
    </row>
    <row r="1360" spans="1:1" x14ac:dyDescent="0.35">
      <c r="A1360" s="2"/>
    </row>
    <row r="1361" spans="1:1" x14ac:dyDescent="0.35">
      <c r="A1361" s="2"/>
    </row>
    <row r="1362" spans="1:1" x14ac:dyDescent="0.35">
      <c r="A1362" s="2"/>
    </row>
    <row r="1363" spans="1:1" x14ac:dyDescent="0.35">
      <c r="A1363" s="2"/>
    </row>
    <row r="1364" spans="1:1" x14ac:dyDescent="0.35">
      <c r="A1364" s="2"/>
    </row>
    <row r="1365" spans="1:1" x14ac:dyDescent="0.35">
      <c r="A1365" s="2"/>
    </row>
    <row r="1366" spans="1:1" x14ac:dyDescent="0.35">
      <c r="A1366" s="2"/>
    </row>
    <row r="1367" spans="1:1" x14ac:dyDescent="0.35">
      <c r="A1367" s="2"/>
    </row>
    <row r="1368" spans="1:1" x14ac:dyDescent="0.35">
      <c r="A1368" s="2"/>
    </row>
    <row r="1369" spans="1:1" x14ac:dyDescent="0.35">
      <c r="A1369" s="2"/>
    </row>
    <row r="1370" spans="1:1" x14ac:dyDescent="0.35">
      <c r="A1370" s="2"/>
    </row>
    <row r="1371" spans="1:1" x14ac:dyDescent="0.35">
      <c r="A1371" s="2"/>
    </row>
    <row r="1372" spans="1:1" x14ac:dyDescent="0.35">
      <c r="A1372" s="2"/>
    </row>
    <row r="1373" spans="1:1" x14ac:dyDescent="0.35">
      <c r="A1373" s="2"/>
    </row>
    <row r="1374" spans="1:1" x14ac:dyDescent="0.35">
      <c r="A1374" s="2"/>
    </row>
    <row r="1375" spans="1:1" x14ac:dyDescent="0.35">
      <c r="A1375" s="2"/>
    </row>
    <row r="1376" spans="1:1" x14ac:dyDescent="0.35">
      <c r="A1376" s="2"/>
    </row>
    <row r="1377" spans="1:1" x14ac:dyDescent="0.35">
      <c r="A1377" s="2"/>
    </row>
    <row r="1378" spans="1:1" x14ac:dyDescent="0.35">
      <c r="A1378" s="2"/>
    </row>
    <row r="1379" spans="1:1" x14ac:dyDescent="0.35">
      <c r="A1379" s="2"/>
    </row>
    <row r="1380" spans="1:1" x14ac:dyDescent="0.35">
      <c r="A1380" s="2"/>
    </row>
    <row r="1381" spans="1:1" x14ac:dyDescent="0.35">
      <c r="A1381" s="2"/>
    </row>
    <row r="1382" spans="1:1" x14ac:dyDescent="0.35">
      <c r="A1382" s="2"/>
    </row>
    <row r="1383" spans="1:1" x14ac:dyDescent="0.35">
      <c r="A1383" s="2"/>
    </row>
    <row r="1384" spans="1:1" x14ac:dyDescent="0.35">
      <c r="A1384" s="2"/>
    </row>
    <row r="1385" spans="1:1" x14ac:dyDescent="0.35">
      <c r="A1385" s="2"/>
    </row>
    <row r="1386" spans="1:1" x14ac:dyDescent="0.35">
      <c r="A1386" s="2"/>
    </row>
    <row r="1387" spans="1:1" x14ac:dyDescent="0.35">
      <c r="A1387" s="2"/>
    </row>
    <row r="1388" spans="1:1" x14ac:dyDescent="0.35">
      <c r="A1388" s="2"/>
    </row>
    <row r="1389" spans="1:1" x14ac:dyDescent="0.35">
      <c r="A1389" s="2"/>
    </row>
    <row r="1390" spans="1:1" x14ac:dyDescent="0.35">
      <c r="A1390" s="2"/>
    </row>
    <row r="1391" spans="1:1" x14ac:dyDescent="0.35">
      <c r="A1391" s="2"/>
    </row>
    <row r="1392" spans="1:1" x14ac:dyDescent="0.35">
      <c r="A1392" s="2"/>
    </row>
    <row r="1393" spans="1:1" x14ac:dyDescent="0.35">
      <c r="A1393" s="2"/>
    </row>
    <row r="1394" spans="1:1" x14ac:dyDescent="0.35">
      <c r="A1394" s="2"/>
    </row>
    <row r="1395" spans="1:1" x14ac:dyDescent="0.35">
      <c r="A1395" s="2"/>
    </row>
    <row r="1396" spans="1:1" x14ac:dyDescent="0.35">
      <c r="A1396" s="2"/>
    </row>
    <row r="1397" spans="1:1" x14ac:dyDescent="0.35">
      <c r="A1397" s="2"/>
    </row>
    <row r="1398" spans="1:1" x14ac:dyDescent="0.35">
      <c r="A1398" s="2"/>
    </row>
    <row r="1399" spans="1:1" x14ac:dyDescent="0.35">
      <c r="A1399" s="2"/>
    </row>
    <row r="1400" spans="1:1" x14ac:dyDescent="0.35">
      <c r="A1400" s="2"/>
    </row>
    <row r="1401" spans="1:1" x14ac:dyDescent="0.35">
      <c r="A1401" s="2"/>
    </row>
    <row r="1402" spans="1:1" x14ac:dyDescent="0.35">
      <c r="A1402" s="2"/>
    </row>
    <row r="1403" spans="1:1" x14ac:dyDescent="0.35">
      <c r="A1403" s="2"/>
    </row>
    <row r="1404" spans="1:1" x14ac:dyDescent="0.35">
      <c r="A1404" s="2"/>
    </row>
    <row r="1405" spans="1:1" x14ac:dyDescent="0.35">
      <c r="A1405" s="2"/>
    </row>
    <row r="1406" spans="1:1" x14ac:dyDescent="0.35">
      <c r="A1406" s="2"/>
    </row>
    <row r="1407" spans="1:1" x14ac:dyDescent="0.35">
      <c r="A1407" s="2"/>
    </row>
    <row r="1408" spans="1:1" x14ac:dyDescent="0.35">
      <c r="A1408" s="2"/>
    </row>
    <row r="1409" spans="1:1" x14ac:dyDescent="0.35">
      <c r="A1409" s="2"/>
    </row>
    <row r="1410" spans="1:1" x14ac:dyDescent="0.35">
      <c r="A1410" s="2"/>
    </row>
    <row r="1411" spans="1:1" x14ac:dyDescent="0.35">
      <c r="A1411" s="2"/>
    </row>
    <row r="1412" spans="1:1" x14ac:dyDescent="0.35">
      <c r="A1412" s="2"/>
    </row>
    <row r="1413" spans="1:1" x14ac:dyDescent="0.35">
      <c r="A1413" s="2"/>
    </row>
    <row r="1414" spans="1:1" x14ac:dyDescent="0.35">
      <c r="A1414" s="2"/>
    </row>
    <row r="1415" spans="1:1" x14ac:dyDescent="0.35">
      <c r="A1415" s="2"/>
    </row>
    <row r="1416" spans="1:1" x14ac:dyDescent="0.35">
      <c r="A1416" s="2"/>
    </row>
    <row r="1417" spans="1:1" x14ac:dyDescent="0.35">
      <c r="A1417" s="2"/>
    </row>
    <row r="1418" spans="1:1" x14ac:dyDescent="0.35">
      <c r="A1418" s="2"/>
    </row>
    <row r="1419" spans="1:1" x14ac:dyDescent="0.35">
      <c r="A1419" s="2"/>
    </row>
    <row r="1420" spans="1:1" x14ac:dyDescent="0.35">
      <c r="A1420" s="2"/>
    </row>
    <row r="1421" spans="1:1" x14ac:dyDescent="0.35">
      <c r="A1421" s="2"/>
    </row>
    <row r="1422" spans="1:1" x14ac:dyDescent="0.35">
      <c r="A1422" s="2"/>
    </row>
    <row r="1423" spans="1:1" x14ac:dyDescent="0.35">
      <c r="A1423" s="2"/>
    </row>
    <row r="1424" spans="1:1" x14ac:dyDescent="0.35">
      <c r="A1424" s="2"/>
    </row>
    <row r="1425" spans="1:1" x14ac:dyDescent="0.35">
      <c r="A1425" s="2"/>
    </row>
    <row r="1426" spans="1:1" x14ac:dyDescent="0.35">
      <c r="A1426" s="2"/>
    </row>
    <row r="1427" spans="1:1" x14ac:dyDescent="0.35">
      <c r="A1427" s="2"/>
    </row>
    <row r="1428" spans="1:1" x14ac:dyDescent="0.35">
      <c r="A1428" s="2"/>
    </row>
    <row r="1429" spans="1:1" x14ac:dyDescent="0.35">
      <c r="A1429" s="2"/>
    </row>
    <row r="1430" spans="1:1" x14ac:dyDescent="0.35">
      <c r="A1430" s="2"/>
    </row>
    <row r="1431" spans="1:1" x14ac:dyDescent="0.35">
      <c r="A1431" s="2"/>
    </row>
    <row r="1432" spans="1:1" x14ac:dyDescent="0.35">
      <c r="A1432" s="2"/>
    </row>
    <row r="1433" spans="1:1" x14ac:dyDescent="0.35">
      <c r="A1433" s="2"/>
    </row>
    <row r="1434" spans="1:1" x14ac:dyDescent="0.35">
      <c r="A1434" s="2"/>
    </row>
    <row r="1435" spans="1:1" x14ac:dyDescent="0.35">
      <c r="A1435" s="2"/>
    </row>
    <row r="1436" spans="1:1" x14ac:dyDescent="0.35">
      <c r="A1436" s="2"/>
    </row>
    <row r="1437" spans="1:1" x14ac:dyDescent="0.35">
      <c r="A1437" s="2"/>
    </row>
    <row r="1438" spans="1:1" x14ac:dyDescent="0.35">
      <c r="A1438" s="2"/>
    </row>
    <row r="1439" spans="1:1" x14ac:dyDescent="0.35">
      <c r="A1439" s="2"/>
    </row>
    <row r="1440" spans="1:1" x14ac:dyDescent="0.35">
      <c r="A1440" s="2"/>
    </row>
    <row r="1441" spans="1:1" x14ac:dyDescent="0.35">
      <c r="A1441" s="2"/>
    </row>
    <row r="1442" spans="1:1" x14ac:dyDescent="0.35">
      <c r="A1442" s="2"/>
    </row>
    <row r="1443" spans="1:1" x14ac:dyDescent="0.35">
      <c r="A1443" s="2"/>
    </row>
    <row r="1444" spans="1:1" x14ac:dyDescent="0.35">
      <c r="A1444" s="2"/>
    </row>
    <row r="1445" spans="1:1" x14ac:dyDescent="0.35">
      <c r="A1445" s="2"/>
    </row>
    <row r="1446" spans="1:1" x14ac:dyDescent="0.35">
      <c r="A1446" s="2"/>
    </row>
    <row r="1447" spans="1:1" x14ac:dyDescent="0.35">
      <c r="A1447" s="2"/>
    </row>
    <row r="1448" spans="1:1" x14ac:dyDescent="0.35">
      <c r="A1448" s="2"/>
    </row>
    <row r="1449" spans="1:1" x14ac:dyDescent="0.35">
      <c r="A1449" s="2"/>
    </row>
    <row r="1450" spans="1:1" x14ac:dyDescent="0.35">
      <c r="A1450" s="2"/>
    </row>
    <row r="1451" spans="1:1" x14ac:dyDescent="0.35">
      <c r="A1451" s="2"/>
    </row>
    <row r="1452" spans="1:1" x14ac:dyDescent="0.35">
      <c r="A1452" s="2"/>
    </row>
    <row r="1453" spans="1:1" x14ac:dyDescent="0.35">
      <c r="A1453" s="2"/>
    </row>
    <row r="1454" spans="1:1" x14ac:dyDescent="0.35">
      <c r="A1454" s="2"/>
    </row>
    <row r="1455" spans="1:1" x14ac:dyDescent="0.35">
      <c r="A1455" s="2"/>
    </row>
    <row r="1456" spans="1:1" x14ac:dyDescent="0.35">
      <c r="A1456" s="2"/>
    </row>
    <row r="1457" spans="1:1" x14ac:dyDescent="0.35">
      <c r="A1457" s="2"/>
    </row>
    <row r="1458" spans="1:1" x14ac:dyDescent="0.35">
      <c r="A1458" s="2"/>
    </row>
    <row r="1459" spans="1:1" x14ac:dyDescent="0.35">
      <c r="A1459" s="2"/>
    </row>
    <row r="1460" spans="1:1" x14ac:dyDescent="0.35">
      <c r="A1460" s="2"/>
    </row>
    <row r="1461" spans="1:1" x14ac:dyDescent="0.35">
      <c r="A1461" s="2"/>
    </row>
    <row r="1462" spans="1:1" x14ac:dyDescent="0.35">
      <c r="A1462" s="2"/>
    </row>
    <row r="1463" spans="1:1" x14ac:dyDescent="0.35">
      <c r="A1463" s="2"/>
    </row>
    <row r="1464" spans="1:1" x14ac:dyDescent="0.35">
      <c r="A1464" s="2"/>
    </row>
    <row r="1465" spans="1:1" x14ac:dyDescent="0.35">
      <c r="A1465" s="2"/>
    </row>
    <row r="1466" spans="1:1" x14ac:dyDescent="0.35">
      <c r="A1466" s="2"/>
    </row>
    <row r="1467" spans="1:1" x14ac:dyDescent="0.35">
      <c r="A1467" s="2"/>
    </row>
    <row r="1468" spans="1:1" x14ac:dyDescent="0.35">
      <c r="A1468" s="2"/>
    </row>
    <row r="1469" spans="1:1" x14ac:dyDescent="0.35">
      <c r="A1469" s="2"/>
    </row>
    <row r="1470" spans="1:1" x14ac:dyDescent="0.35">
      <c r="A1470" s="2"/>
    </row>
    <row r="1471" spans="1:1" x14ac:dyDescent="0.35">
      <c r="A1471" s="2"/>
    </row>
    <row r="1472" spans="1:1" x14ac:dyDescent="0.35">
      <c r="A1472" s="2"/>
    </row>
    <row r="1473" spans="1:1" x14ac:dyDescent="0.35">
      <c r="A1473" s="2"/>
    </row>
    <row r="1474" spans="1:1" x14ac:dyDescent="0.35">
      <c r="A1474" s="2"/>
    </row>
    <row r="1475" spans="1:1" x14ac:dyDescent="0.35">
      <c r="A1475" s="2"/>
    </row>
    <row r="1476" spans="1:1" x14ac:dyDescent="0.35">
      <c r="A1476" s="2"/>
    </row>
    <row r="1477" spans="1:1" x14ac:dyDescent="0.35">
      <c r="A1477" s="2"/>
    </row>
    <row r="1478" spans="1:1" x14ac:dyDescent="0.35">
      <c r="A1478" s="2"/>
    </row>
    <row r="1479" spans="1:1" x14ac:dyDescent="0.35">
      <c r="A1479" s="2"/>
    </row>
    <row r="1480" spans="1:1" x14ac:dyDescent="0.35">
      <c r="A1480" s="2"/>
    </row>
    <row r="1481" spans="1:1" x14ac:dyDescent="0.35">
      <c r="A1481" s="2"/>
    </row>
    <row r="1482" spans="1:1" x14ac:dyDescent="0.35">
      <c r="A1482" s="2"/>
    </row>
    <row r="1483" spans="1:1" x14ac:dyDescent="0.35">
      <c r="A1483" s="2"/>
    </row>
    <row r="1484" spans="1:1" x14ac:dyDescent="0.35">
      <c r="A1484" s="2"/>
    </row>
    <row r="1485" spans="1:1" x14ac:dyDescent="0.35">
      <c r="A1485" s="2"/>
    </row>
    <row r="1486" spans="1:1" x14ac:dyDescent="0.35">
      <c r="A1486" s="2"/>
    </row>
    <row r="1487" spans="1:1" x14ac:dyDescent="0.35">
      <c r="A1487" s="2"/>
    </row>
    <row r="1488" spans="1:1" x14ac:dyDescent="0.35">
      <c r="A1488" s="2"/>
    </row>
    <row r="1489" spans="1:1" x14ac:dyDescent="0.35">
      <c r="A1489" s="2"/>
    </row>
    <row r="1490" spans="1:1" x14ac:dyDescent="0.35">
      <c r="A1490" s="2"/>
    </row>
    <row r="1491" spans="1:1" x14ac:dyDescent="0.35">
      <c r="A1491" s="2"/>
    </row>
    <row r="1492" spans="1:1" x14ac:dyDescent="0.35">
      <c r="A1492" s="2"/>
    </row>
    <row r="1493" spans="1:1" x14ac:dyDescent="0.35">
      <c r="A1493" s="2"/>
    </row>
    <row r="1494" spans="1:1" x14ac:dyDescent="0.35">
      <c r="A1494" s="2"/>
    </row>
    <row r="1495" spans="1:1" x14ac:dyDescent="0.35">
      <c r="A1495" s="2"/>
    </row>
    <row r="1496" spans="1:1" x14ac:dyDescent="0.35">
      <c r="A1496" s="2"/>
    </row>
    <row r="1497" spans="1:1" x14ac:dyDescent="0.35">
      <c r="A1497" s="2"/>
    </row>
    <row r="1498" spans="1:1" x14ac:dyDescent="0.35">
      <c r="A1498" s="2"/>
    </row>
    <row r="1499" spans="1:1" x14ac:dyDescent="0.35">
      <c r="A1499" s="2"/>
    </row>
    <row r="1500" spans="1:1" x14ac:dyDescent="0.35">
      <c r="A1500" s="2"/>
    </row>
    <row r="1501" spans="1:1" x14ac:dyDescent="0.35">
      <c r="A1501" s="2"/>
    </row>
    <row r="1502" spans="1:1" x14ac:dyDescent="0.35">
      <c r="A1502" s="2"/>
    </row>
    <row r="1503" spans="1:1" x14ac:dyDescent="0.35">
      <c r="A1503" s="2"/>
    </row>
    <row r="1504" spans="1:1" x14ac:dyDescent="0.35">
      <c r="A1504" s="2"/>
    </row>
    <row r="1505" spans="1:1" x14ac:dyDescent="0.35">
      <c r="A1505" s="2"/>
    </row>
    <row r="1506" spans="1:1" x14ac:dyDescent="0.35">
      <c r="A1506" s="2"/>
    </row>
    <row r="1507" spans="1:1" x14ac:dyDescent="0.35">
      <c r="A1507" s="2"/>
    </row>
    <row r="1508" spans="1:1" x14ac:dyDescent="0.35">
      <c r="A1508" s="2"/>
    </row>
    <row r="1509" spans="1:1" x14ac:dyDescent="0.35">
      <c r="A1509" s="2"/>
    </row>
    <row r="1510" spans="1:1" x14ac:dyDescent="0.35">
      <c r="A1510" s="2"/>
    </row>
    <row r="1511" spans="1:1" x14ac:dyDescent="0.35">
      <c r="A1511" s="2"/>
    </row>
    <row r="1512" spans="1:1" x14ac:dyDescent="0.35">
      <c r="A1512" s="2"/>
    </row>
    <row r="1513" spans="1:1" x14ac:dyDescent="0.35">
      <c r="A1513" s="2"/>
    </row>
    <row r="1514" spans="1:1" x14ac:dyDescent="0.35">
      <c r="A1514" s="2"/>
    </row>
    <row r="1515" spans="1:1" x14ac:dyDescent="0.35">
      <c r="A1515" s="2"/>
    </row>
    <row r="1516" spans="1:1" x14ac:dyDescent="0.35">
      <c r="A1516" s="2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5A9A2-5390-4C6B-AC47-9B3A1A184DC9}">
  <sheetPr codeName="Feuil9">
    <tabColor theme="7"/>
  </sheetPr>
  <dimension ref="B1:K16"/>
  <sheetViews>
    <sheetView workbookViewId="0">
      <selection activeCell="G8" sqref="G8"/>
    </sheetView>
  </sheetViews>
  <sheetFormatPr baseColWidth="10" defaultRowHeight="14.5" x14ac:dyDescent="0.35"/>
  <cols>
    <col min="2" max="2" width="13.90625" bestFit="1" customWidth="1"/>
    <col min="3" max="3" width="11.81640625" bestFit="1" customWidth="1"/>
    <col min="6" max="6" width="11.6328125" bestFit="1" customWidth="1"/>
    <col min="7" max="7" width="17" bestFit="1" customWidth="1"/>
  </cols>
  <sheetData>
    <row r="1" spans="2:11" ht="15" thickBot="1" x14ac:dyDescent="0.4"/>
    <row r="2" spans="2:11" x14ac:dyDescent="0.35">
      <c r="B2" s="10" t="s">
        <v>145</v>
      </c>
      <c r="C2" s="15" t="s">
        <v>204</v>
      </c>
      <c r="F2" s="47" t="s">
        <v>201</v>
      </c>
      <c r="G2" s="48"/>
      <c r="H2" s="48"/>
      <c r="I2" s="48"/>
      <c r="J2" s="48"/>
      <c r="K2" s="49"/>
    </row>
    <row r="3" spans="2:11" x14ac:dyDescent="0.35">
      <c r="B3" s="11" t="s">
        <v>164</v>
      </c>
      <c r="C3" s="16">
        <v>45649</v>
      </c>
      <c r="F3" s="23"/>
      <c r="G3" s="24"/>
      <c r="H3" s="24"/>
      <c r="I3" s="24"/>
      <c r="J3" s="24"/>
      <c r="K3" s="25"/>
    </row>
    <row r="4" spans="2:11" x14ac:dyDescent="0.35">
      <c r="B4" s="11" t="s">
        <v>172</v>
      </c>
      <c r="C4" s="16">
        <v>45653</v>
      </c>
      <c r="F4" s="23"/>
      <c r="G4" s="24"/>
      <c r="H4" s="24"/>
      <c r="I4" s="24"/>
      <c r="J4" s="24"/>
      <c r="K4" s="25"/>
    </row>
    <row r="5" spans="2:11" x14ac:dyDescent="0.35">
      <c r="B5" s="11" t="s">
        <v>173</v>
      </c>
      <c r="C5" s="17" t="s">
        <v>206</v>
      </c>
      <c r="F5" s="23"/>
      <c r="G5" s="24"/>
      <c r="H5" s="24"/>
      <c r="I5" s="24"/>
      <c r="J5" s="24"/>
      <c r="K5" s="25"/>
    </row>
    <row r="6" spans="2:11" ht="15" thickBot="1" x14ac:dyDescent="0.4">
      <c r="B6" s="11"/>
      <c r="C6" s="17"/>
      <c r="F6" s="26"/>
      <c r="G6" s="27"/>
      <c r="H6" s="27"/>
      <c r="I6" s="27"/>
      <c r="J6" s="27"/>
      <c r="K6" s="28"/>
    </row>
    <row r="7" spans="2:11" ht="15" thickBot="1" x14ac:dyDescent="0.4">
      <c r="B7" s="11"/>
      <c r="C7" s="17"/>
    </row>
    <row r="8" spans="2:11" ht="15" thickBot="1" x14ac:dyDescent="0.4">
      <c r="B8" s="11"/>
      <c r="C8" s="17"/>
      <c r="F8" s="36" t="s">
        <v>169</v>
      </c>
      <c r="G8" s="43" cm="1">
        <f t="array" ref="G8">Black_and_Scholes(C2,C9,C10,C11,C12,C13)</f>
        <v>5.0928071067946918</v>
      </c>
    </row>
    <row r="9" spans="2:11" ht="15" thickBot="1" x14ac:dyDescent="0.4">
      <c r="B9" s="11" t="s">
        <v>174</v>
      </c>
      <c r="C9" s="18">
        <v>2.287921662675358E-2</v>
      </c>
    </row>
    <row r="10" spans="2:11" x14ac:dyDescent="0.35">
      <c r="B10" s="11" t="s">
        <v>175</v>
      </c>
      <c r="C10" s="17">
        <v>1.1111111111111112E-2</v>
      </c>
      <c r="F10" s="10" t="s">
        <v>171</v>
      </c>
      <c r="G10" s="20">
        <v>5</v>
      </c>
    </row>
    <row r="11" spans="2:11" x14ac:dyDescent="0.35">
      <c r="B11" s="11" t="s">
        <v>176</v>
      </c>
      <c r="C11" s="18">
        <v>4.317E-2</v>
      </c>
      <c r="F11" s="11" t="s">
        <v>170</v>
      </c>
      <c r="G11" s="17" t="s">
        <v>226</v>
      </c>
    </row>
    <row r="12" spans="2:11" x14ac:dyDescent="0.35">
      <c r="B12" s="11" t="s">
        <v>165</v>
      </c>
      <c r="C12" s="17">
        <v>9.8999996185302699</v>
      </c>
      <c r="F12" s="11" t="s">
        <v>164</v>
      </c>
      <c r="G12" s="21">
        <v>45644</v>
      </c>
    </row>
    <row r="13" spans="2:11" ht="15" thickBot="1" x14ac:dyDescent="0.4">
      <c r="B13" s="12" t="s">
        <v>166</v>
      </c>
      <c r="C13" s="19">
        <v>15</v>
      </c>
      <c r="F13" s="12" t="s">
        <v>172</v>
      </c>
      <c r="G13" s="22">
        <v>45653</v>
      </c>
    </row>
    <row r="14" spans="2:11" x14ac:dyDescent="0.35">
      <c r="G14" s="2"/>
    </row>
    <row r="15" spans="2:11" ht="15" thickBot="1" x14ac:dyDescent="0.4"/>
    <row r="16" spans="2:11" ht="29.5" thickBot="1" x14ac:dyDescent="0.4">
      <c r="B16" s="13"/>
      <c r="C16" s="14" t="s">
        <v>168</v>
      </c>
      <c r="F16" s="36" t="s">
        <v>205</v>
      </c>
      <c r="G16" s="41">
        <f>ABS(G10-G8)</f>
        <v>9.280710679469184E-2</v>
      </c>
    </row>
  </sheetData>
  <mergeCells count="1">
    <mergeCell ref="F2:K2"/>
  </mergeCells>
  <dataValidations count="1">
    <dataValidation type="list" showInputMessage="1" showErrorMessage="1" sqref="C2" xr:uid="{A096A2B4-6D3A-40DD-872D-295DE94B91CF}">
      <formula1>"Call,Put"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parameters_BandS">
                <anchor moveWithCells="1" sizeWithCells="1">
                  <from>
                    <xdr:col>7</xdr:col>
                    <xdr:colOff>457200</xdr:colOff>
                    <xdr:row>2</xdr:row>
                    <xdr:rowOff>12700</xdr:rowOff>
                  </from>
                  <to>
                    <xdr:col>10</xdr:col>
                    <xdr:colOff>330200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market_option">
                <anchor moveWithCells="1" sizeWithCells="1">
                  <from>
                    <xdr:col>5</xdr:col>
                    <xdr:colOff>406400</xdr:colOff>
                    <xdr:row>2</xdr:row>
                    <xdr:rowOff>12700</xdr:rowOff>
                  </from>
                  <to>
                    <xdr:col>7</xdr:col>
                    <xdr:colOff>342900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9D023-D0D0-40EB-ABFA-9E771DA6F349}">
  <sheetPr codeName="Feuil10">
    <tabColor theme="7"/>
  </sheetPr>
  <dimension ref="A1:C14"/>
  <sheetViews>
    <sheetView workbookViewId="0">
      <selection activeCell="K26" sqref="K26"/>
    </sheetView>
  </sheetViews>
  <sheetFormatPr baseColWidth="10" defaultRowHeight="14.5" x14ac:dyDescent="0.35"/>
  <cols>
    <col min="2" max="2" width="13.54296875" customWidth="1"/>
  </cols>
  <sheetData>
    <row r="1" spans="1:3" x14ac:dyDescent="0.35">
      <c r="A1" t="s">
        <v>163</v>
      </c>
      <c r="B1" t="s">
        <v>160</v>
      </c>
      <c r="C1" s="4" t="s">
        <v>161</v>
      </c>
    </row>
    <row r="2" spans="1:3" x14ac:dyDescent="0.35">
      <c r="A2" t="s">
        <v>14</v>
      </c>
      <c r="B2" t="s">
        <v>146</v>
      </c>
      <c r="C2" s="4">
        <v>4.3180000000000003E-2</v>
      </c>
    </row>
    <row r="3" spans="1:3" x14ac:dyDescent="0.35">
      <c r="A3" t="s">
        <v>14</v>
      </c>
      <c r="B3" t="s">
        <v>147</v>
      </c>
      <c r="C3" s="4">
        <v>4.335E-2</v>
      </c>
    </row>
    <row r="4" spans="1:3" x14ac:dyDescent="0.35">
      <c r="A4" t="s">
        <v>14</v>
      </c>
      <c r="B4" t="s">
        <v>148</v>
      </c>
      <c r="C4" s="4">
        <v>4.299E-2</v>
      </c>
    </row>
    <row r="5" spans="1:3" x14ac:dyDescent="0.35">
      <c r="A5" t="s">
        <v>14</v>
      </c>
      <c r="B5" t="s">
        <v>149</v>
      </c>
      <c r="C5" s="4">
        <v>4.3290000000000002E-2</v>
      </c>
    </row>
    <row r="6" spans="1:3" x14ac:dyDescent="0.35">
      <c r="A6" t="s">
        <v>14</v>
      </c>
      <c r="B6" t="s">
        <v>150</v>
      </c>
      <c r="C6" s="4">
        <v>4.3060000000000001E-2</v>
      </c>
    </row>
    <row r="7" spans="1:3" x14ac:dyDescent="0.35">
      <c r="A7" t="s">
        <v>14</v>
      </c>
      <c r="B7" t="s">
        <v>151</v>
      </c>
      <c r="C7" s="4">
        <v>4.2009999999999999E-2</v>
      </c>
    </row>
    <row r="8" spans="1:3" x14ac:dyDescent="0.35">
      <c r="A8" t="s">
        <v>14</v>
      </c>
      <c r="B8" t="s">
        <v>152</v>
      </c>
      <c r="C8" s="4">
        <v>4.3200000000000002E-2</v>
      </c>
    </row>
    <row r="9" spans="1:3" x14ac:dyDescent="0.35">
      <c r="A9" t="s">
        <v>14</v>
      </c>
      <c r="B9" t="s">
        <v>153</v>
      </c>
      <c r="C9" s="4">
        <v>4.3560000000000001E-2</v>
      </c>
    </row>
    <row r="10" spans="1:3" x14ac:dyDescent="0.35">
      <c r="A10" t="s">
        <v>14</v>
      </c>
      <c r="B10" t="s">
        <v>154</v>
      </c>
      <c r="C10" s="4">
        <v>4.4510000000000001E-2</v>
      </c>
    </row>
    <row r="11" spans="1:3" x14ac:dyDescent="0.35">
      <c r="A11" t="s">
        <v>14</v>
      </c>
      <c r="B11" t="s">
        <v>155</v>
      </c>
      <c r="C11" s="4">
        <v>4.5339999999999998E-2</v>
      </c>
    </row>
    <row r="12" spans="1:3" x14ac:dyDescent="0.35">
      <c r="A12" t="s">
        <v>14</v>
      </c>
      <c r="B12" t="s">
        <v>156</v>
      </c>
      <c r="C12" s="4">
        <v>4.6149999999999997E-2</v>
      </c>
    </row>
    <row r="13" spans="1:3" x14ac:dyDescent="0.35">
      <c r="A13" t="s">
        <v>14</v>
      </c>
      <c r="B13" t="s">
        <v>158</v>
      </c>
      <c r="C13" s="4">
        <v>4.8930000000000001E-2</v>
      </c>
    </row>
    <row r="14" spans="1:3" x14ac:dyDescent="0.35">
      <c r="A14" t="s">
        <v>14</v>
      </c>
      <c r="B14" t="s">
        <v>157</v>
      </c>
      <c r="C14" s="4">
        <v>4.8099999999999997E-2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EA370-DA3B-4854-9215-22C14E026AA6}">
  <sheetPr codeName="Feuil7">
    <tabColor theme="7" tint="0.59999389629810485"/>
  </sheetPr>
  <dimension ref="A1"/>
  <sheetViews>
    <sheetView workbookViewId="0">
      <selection activeCell="G31" sqref="G31"/>
    </sheetView>
  </sheetViews>
  <sheetFormatPr baseColWidth="10" defaultRowHeight="14.5" x14ac:dyDescent="0.35"/>
  <cols>
    <col min="1" max="16384" width="10.90625" style="24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F14D3-C989-45E9-AA88-D710E241A130}">
  <sheetPr codeName="Feuil4"/>
  <dimension ref="A1:O59"/>
  <sheetViews>
    <sheetView zoomScale="70" zoomScaleNormal="70" workbookViewId="0">
      <selection activeCell="M12" sqref="M12"/>
    </sheetView>
  </sheetViews>
  <sheetFormatPr baseColWidth="10" defaultRowHeight="14.5" x14ac:dyDescent="0.35"/>
  <cols>
    <col min="1" max="1" width="24.08984375" bestFit="1" customWidth="1"/>
    <col min="2" max="2" width="10.90625" bestFit="1" customWidth="1"/>
    <col min="3" max="4" width="14.54296875" bestFit="1" customWidth="1"/>
    <col min="5" max="5" width="13.90625" bestFit="1" customWidth="1"/>
    <col min="6" max="6" width="21.81640625" bestFit="1" customWidth="1"/>
    <col min="7" max="7" width="12.54296875" bestFit="1" customWidth="1"/>
    <col min="8" max="8" width="18.6328125" bestFit="1" customWidth="1"/>
    <col min="9" max="9" width="8.26953125" bestFit="1" customWidth="1"/>
    <col min="10" max="10" width="8.7265625" bestFit="1" customWidth="1"/>
    <col min="11" max="11" width="18.81640625" bestFit="1" customWidth="1"/>
    <col min="12" max="12" width="15.6328125" bestFit="1" customWidth="1"/>
    <col min="13" max="13" width="20.1796875" bestFit="1" customWidth="1"/>
    <col min="14" max="14" width="21.90625" bestFit="1" customWidth="1"/>
    <col min="15" max="15" width="18" bestFit="1" customWidth="1"/>
    <col min="16" max="16" width="11.81640625" bestFit="1" customWidth="1"/>
  </cols>
  <sheetData>
    <row r="1" spans="1:15" x14ac:dyDescent="0.35">
      <c r="A1" t="s">
        <v>125</v>
      </c>
      <c r="B1" t="s">
        <v>126</v>
      </c>
      <c r="C1" t="s">
        <v>127</v>
      </c>
      <c r="D1" t="s">
        <v>128</v>
      </c>
      <c r="E1" t="s">
        <v>102</v>
      </c>
      <c r="F1" t="s">
        <v>129</v>
      </c>
      <c r="G1" t="s">
        <v>104</v>
      </c>
      <c r="H1" t="s">
        <v>130</v>
      </c>
      <c r="I1" t="s">
        <v>131</v>
      </c>
      <c r="J1" t="s">
        <v>132</v>
      </c>
      <c r="K1" t="s">
        <v>133</v>
      </c>
      <c r="L1" t="s">
        <v>134</v>
      </c>
      <c r="M1" t="s">
        <v>135</v>
      </c>
      <c r="N1" t="s">
        <v>136</v>
      </c>
      <c r="O1" t="s">
        <v>137</v>
      </c>
    </row>
    <row r="2" spans="1:15" x14ac:dyDescent="0.35">
      <c r="A2" t="s">
        <v>289</v>
      </c>
      <c r="B2">
        <v>110</v>
      </c>
      <c r="C2" t="s">
        <v>138</v>
      </c>
      <c r="D2">
        <v>139.69999999999999</v>
      </c>
      <c r="E2">
        <v>0</v>
      </c>
      <c r="F2">
        <v>0</v>
      </c>
      <c r="H2">
        <v>4</v>
      </c>
      <c r="I2">
        <v>144.55000000000001</v>
      </c>
      <c r="J2">
        <v>145.55000000000001</v>
      </c>
      <c r="K2" t="s">
        <v>139</v>
      </c>
      <c r="L2" s="2">
        <v>45653</v>
      </c>
      <c r="M2" s="2">
        <v>45644</v>
      </c>
      <c r="N2">
        <v>5.9531275585937502</v>
      </c>
      <c r="O2" t="b">
        <v>1</v>
      </c>
    </row>
    <row r="3" spans="1:15" x14ac:dyDescent="0.35">
      <c r="A3" t="s">
        <v>290</v>
      </c>
      <c r="B3">
        <v>120</v>
      </c>
      <c r="C3" t="s">
        <v>138</v>
      </c>
      <c r="D3">
        <v>134.25</v>
      </c>
      <c r="E3">
        <v>-4.5200043000000001</v>
      </c>
      <c r="F3">
        <v>-3.2571911999999998</v>
      </c>
      <c r="G3">
        <v>1</v>
      </c>
      <c r="H3">
        <v>1</v>
      </c>
      <c r="I3">
        <v>134.55000000000001</v>
      </c>
      <c r="J3">
        <v>136.15</v>
      </c>
      <c r="K3" t="s">
        <v>139</v>
      </c>
      <c r="L3" s="2">
        <v>45653</v>
      </c>
      <c r="M3" s="2">
        <v>45653</v>
      </c>
      <c r="N3">
        <v>6.73437658203125</v>
      </c>
      <c r="O3" t="b">
        <v>1</v>
      </c>
    </row>
    <row r="4" spans="1:15" x14ac:dyDescent="0.35">
      <c r="A4" t="s">
        <v>291</v>
      </c>
      <c r="B4">
        <v>125</v>
      </c>
      <c r="C4" t="s">
        <v>138</v>
      </c>
      <c r="D4">
        <v>128.69999999999999</v>
      </c>
      <c r="E4">
        <v>6.6100006000000002</v>
      </c>
      <c r="F4">
        <v>5.4140395999999997</v>
      </c>
      <c r="G4">
        <v>2</v>
      </c>
      <c r="H4">
        <v>0</v>
      </c>
      <c r="I4">
        <v>129.5</v>
      </c>
      <c r="J4">
        <v>131.1</v>
      </c>
      <c r="K4" t="s">
        <v>139</v>
      </c>
      <c r="L4" s="2">
        <v>45653</v>
      </c>
      <c r="M4" s="2">
        <v>45653</v>
      </c>
      <c r="N4">
        <v>6.2656271679687503</v>
      </c>
      <c r="O4" t="b">
        <v>1</v>
      </c>
    </row>
    <row r="5" spans="1:15" x14ac:dyDescent="0.35">
      <c r="A5" t="s">
        <v>292</v>
      </c>
      <c r="B5">
        <v>130</v>
      </c>
      <c r="C5" t="s">
        <v>138</v>
      </c>
      <c r="D5">
        <v>124.01</v>
      </c>
      <c r="E5">
        <v>0</v>
      </c>
      <c r="F5">
        <v>0</v>
      </c>
      <c r="G5">
        <v>4</v>
      </c>
      <c r="H5">
        <v>4</v>
      </c>
      <c r="I5">
        <v>124.6</v>
      </c>
      <c r="J5">
        <v>125.75</v>
      </c>
      <c r="K5" t="s">
        <v>139</v>
      </c>
      <c r="L5" s="2">
        <v>45653</v>
      </c>
      <c r="M5" s="2">
        <v>45649</v>
      </c>
      <c r="N5">
        <v>5.54687806640624</v>
      </c>
      <c r="O5" t="b">
        <v>1</v>
      </c>
    </row>
    <row r="6" spans="1:15" x14ac:dyDescent="0.35">
      <c r="A6" t="s">
        <v>293</v>
      </c>
      <c r="B6">
        <v>135</v>
      </c>
      <c r="C6" t="s">
        <v>138</v>
      </c>
      <c r="D6">
        <v>118.4</v>
      </c>
      <c r="E6">
        <v>-5.2699965999999998</v>
      </c>
      <c r="F6">
        <v>-4.2613377999999997</v>
      </c>
      <c r="G6">
        <v>1</v>
      </c>
      <c r="H6">
        <v>4</v>
      </c>
      <c r="I6">
        <v>119.5</v>
      </c>
      <c r="J6">
        <v>120.75</v>
      </c>
      <c r="K6" t="s">
        <v>139</v>
      </c>
      <c r="L6" s="2">
        <v>45653</v>
      </c>
      <c r="M6" s="2">
        <v>45653</v>
      </c>
      <c r="N6">
        <v>5.0468786914062402</v>
      </c>
      <c r="O6" t="b">
        <v>1</v>
      </c>
    </row>
    <row r="7" spans="1:15" x14ac:dyDescent="0.35">
      <c r="A7" t="s">
        <v>294</v>
      </c>
      <c r="B7">
        <v>140</v>
      </c>
      <c r="C7" t="s">
        <v>138</v>
      </c>
      <c r="D7">
        <v>114.1</v>
      </c>
      <c r="E7">
        <v>4.3499984999999999</v>
      </c>
      <c r="F7">
        <v>3.9635522000000001</v>
      </c>
      <c r="G7">
        <v>1</v>
      </c>
      <c r="H7">
        <v>6</v>
      </c>
      <c r="I7">
        <v>114.45</v>
      </c>
      <c r="J7">
        <v>115.6</v>
      </c>
      <c r="K7" t="s">
        <v>139</v>
      </c>
      <c r="L7" s="2">
        <v>45653</v>
      </c>
      <c r="M7" s="2">
        <v>45653</v>
      </c>
      <c r="N7">
        <v>4.0937548828125001</v>
      </c>
      <c r="O7" t="b">
        <v>1</v>
      </c>
    </row>
    <row r="8" spans="1:15" x14ac:dyDescent="0.35">
      <c r="A8" t="s">
        <v>295</v>
      </c>
      <c r="B8">
        <v>150</v>
      </c>
      <c r="C8" t="s">
        <v>138</v>
      </c>
      <c r="D8">
        <v>105.21</v>
      </c>
      <c r="E8">
        <v>-2.7399979000000001</v>
      </c>
      <c r="F8">
        <v>-2.5382102</v>
      </c>
      <c r="G8">
        <v>1</v>
      </c>
      <c r="H8">
        <v>3</v>
      </c>
      <c r="I8">
        <v>104.2</v>
      </c>
      <c r="J8">
        <v>106</v>
      </c>
      <c r="K8" t="s">
        <v>139</v>
      </c>
      <c r="L8" s="2">
        <v>45653</v>
      </c>
      <c r="M8" s="2">
        <v>45650</v>
      </c>
      <c r="N8">
        <v>4.1718797851562499</v>
      </c>
      <c r="O8" t="b">
        <v>1</v>
      </c>
    </row>
    <row r="9" spans="1:15" x14ac:dyDescent="0.35">
      <c r="A9" t="s">
        <v>296</v>
      </c>
      <c r="B9">
        <v>155</v>
      </c>
      <c r="C9" t="s">
        <v>138</v>
      </c>
      <c r="D9">
        <v>99.98</v>
      </c>
      <c r="E9">
        <v>-4.2199935999999996</v>
      </c>
      <c r="F9">
        <v>-4.0498979999999998</v>
      </c>
      <c r="G9">
        <v>2</v>
      </c>
      <c r="H9">
        <v>2</v>
      </c>
      <c r="I9">
        <v>99.65</v>
      </c>
      <c r="J9">
        <v>100.7</v>
      </c>
      <c r="K9" t="s">
        <v>139</v>
      </c>
      <c r="L9" s="2">
        <v>45653</v>
      </c>
      <c r="M9" s="2">
        <v>45653</v>
      </c>
      <c r="N9">
        <v>4.2109422363281199</v>
      </c>
      <c r="O9" t="b">
        <v>1</v>
      </c>
    </row>
    <row r="10" spans="1:15" x14ac:dyDescent="0.35">
      <c r="A10" t="s">
        <v>297</v>
      </c>
      <c r="B10">
        <v>160</v>
      </c>
      <c r="C10" t="s">
        <v>138</v>
      </c>
      <c r="D10">
        <v>95.49</v>
      </c>
      <c r="E10">
        <v>5.6699979999999996</v>
      </c>
      <c r="F10">
        <v>6.3126230000000003</v>
      </c>
      <c r="G10">
        <v>6</v>
      </c>
      <c r="H10">
        <v>14</v>
      </c>
      <c r="I10">
        <v>94.7</v>
      </c>
      <c r="J10">
        <v>95.75</v>
      </c>
      <c r="K10" t="s">
        <v>139</v>
      </c>
      <c r="L10" s="2">
        <v>45653</v>
      </c>
      <c r="M10" s="2">
        <v>45653</v>
      </c>
      <c r="N10">
        <v>4.10156737304687</v>
      </c>
      <c r="O10" t="b">
        <v>1</v>
      </c>
    </row>
    <row r="11" spans="1:15" x14ac:dyDescent="0.35">
      <c r="A11" t="s">
        <v>298</v>
      </c>
      <c r="B11">
        <v>165</v>
      </c>
      <c r="C11" t="s">
        <v>138</v>
      </c>
      <c r="D11">
        <v>88.9</v>
      </c>
      <c r="E11">
        <v>-0.15000152999999999</v>
      </c>
      <c r="F11">
        <v>-0.1684464</v>
      </c>
      <c r="G11">
        <v>1</v>
      </c>
      <c r="H11">
        <v>2</v>
      </c>
      <c r="I11">
        <v>89.45</v>
      </c>
      <c r="J11">
        <v>90.65</v>
      </c>
      <c r="K11" t="s">
        <v>139</v>
      </c>
      <c r="L11" s="2">
        <v>45653</v>
      </c>
      <c r="M11" s="2">
        <v>45653</v>
      </c>
      <c r="N11">
        <v>3.2343769140624898</v>
      </c>
      <c r="O11" t="b">
        <v>1</v>
      </c>
    </row>
    <row r="12" spans="1:15" x14ac:dyDescent="0.35">
      <c r="A12" t="s">
        <v>299</v>
      </c>
      <c r="B12">
        <v>170</v>
      </c>
      <c r="C12" t="s">
        <v>138</v>
      </c>
      <c r="D12">
        <v>83.3</v>
      </c>
      <c r="E12">
        <v>-0.62999724999999995</v>
      </c>
      <c r="F12">
        <v>-0.75062229999999996</v>
      </c>
      <c r="G12">
        <v>2</v>
      </c>
      <c r="H12">
        <v>4</v>
      </c>
      <c r="I12">
        <v>84.65</v>
      </c>
      <c r="J12">
        <v>85.8</v>
      </c>
      <c r="K12" t="s">
        <v>139</v>
      </c>
      <c r="L12" s="2">
        <v>45653</v>
      </c>
      <c r="M12" s="2">
        <v>45653</v>
      </c>
      <c r="N12">
        <v>3.6250009374999999</v>
      </c>
      <c r="O12" t="b">
        <v>1</v>
      </c>
    </row>
    <row r="13" spans="1:15" x14ac:dyDescent="0.35">
      <c r="A13" t="s">
        <v>300</v>
      </c>
      <c r="B13">
        <v>175</v>
      </c>
      <c r="C13" t="s">
        <v>138</v>
      </c>
      <c r="D13">
        <v>79.83</v>
      </c>
      <c r="E13">
        <v>-4.4499969999999998</v>
      </c>
      <c r="F13">
        <v>-5.2800155000000002</v>
      </c>
      <c r="G13">
        <v>31</v>
      </c>
      <c r="H13">
        <v>39</v>
      </c>
      <c r="I13">
        <v>79.349999999999994</v>
      </c>
      <c r="J13">
        <v>80.849999999999994</v>
      </c>
      <c r="K13" t="s">
        <v>139</v>
      </c>
      <c r="L13" s="2">
        <v>45653</v>
      </c>
      <c r="M13" s="2">
        <v>45653</v>
      </c>
      <c r="N13">
        <v>3.0546898632812498</v>
      </c>
      <c r="O13" t="b">
        <v>1</v>
      </c>
    </row>
    <row r="14" spans="1:15" x14ac:dyDescent="0.35">
      <c r="A14" t="s">
        <v>301</v>
      </c>
      <c r="B14">
        <v>180</v>
      </c>
      <c r="C14" t="s">
        <v>138</v>
      </c>
      <c r="D14">
        <v>73.67</v>
      </c>
      <c r="E14">
        <v>-5.0699997000000003</v>
      </c>
      <c r="F14">
        <v>-6.4389130000000003</v>
      </c>
      <c r="G14">
        <v>41</v>
      </c>
      <c r="H14">
        <v>91</v>
      </c>
      <c r="I14">
        <v>74.75</v>
      </c>
      <c r="J14">
        <v>75.650000000000006</v>
      </c>
      <c r="K14" t="s">
        <v>139</v>
      </c>
      <c r="L14" s="2">
        <v>45653</v>
      </c>
      <c r="M14" s="2">
        <v>45653</v>
      </c>
      <c r="N14">
        <v>3.11718970703124</v>
      </c>
      <c r="O14" t="b">
        <v>1</v>
      </c>
    </row>
    <row r="15" spans="1:15" x14ac:dyDescent="0.35">
      <c r="A15" t="s">
        <v>302</v>
      </c>
      <c r="B15">
        <v>185</v>
      </c>
      <c r="C15" t="s">
        <v>138</v>
      </c>
      <c r="D15">
        <v>70.33</v>
      </c>
      <c r="E15">
        <v>-3.9000015000000001</v>
      </c>
      <c r="F15">
        <v>-5.2539425</v>
      </c>
      <c r="G15">
        <v>19</v>
      </c>
      <c r="H15">
        <v>101</v>
      </c>
      <c r="I15">
        <v>69.099999999999994</v>
      </c>
      <c r="J15">
        <v>71.2</v>
      </c>
      <c r="K15" t="s">
        <v>139</v>
      </c>
      <c r="L15" s="2">
        <v>45653</v>
      </c>
      <c r="M15" s="2">
        <v>45653</v>
      </c>
      <c r="N15">
        <v>2.7890655273437499</v>
      </c>
      <c r="O15" t="b">
        <v>1</v>
      </c>
    </row>
    <row r="16" spans="1:15" x14ac:dyDescent="0.35">
      <c r="A16" t="s">
        <v>303</v>
      </c>
      <c r="B16">
        <v>190</v>
      </c>
      <c r="C16" t="s">
        <v>138</v>
      </c>
      <c r="D16">
        <v>64.3</v>
      </c>
      <c r="E16">
        <v>-5.0499954000000002</v>
      </c>
      <c r="F16">
        <v>-7.2818969999999998</v>
      </c>
      <c r="G16">
        <v>2</v>
      </c>
      <c r="H16">
        <v>48</v>
      </c>
      <c r="I16">
        <v>64.75</v>
      </c>
      <c r="J16">
        <v>65.7</v>
      </c>
      <c r="K16" t="s">
        <v>139</v>
      </c>
      <c r="L16" s="2">
        <v>45653</v>
      </c>
      <c r="M16" s="2">
        <v>45653</v>
      </c>
      <c r="N16">
        <v>2.7343781640625</v>
      </c>
      <c r="O16" t="b">
        <v>1</v>
      </c>
    </row>
    <row r="17" spans="1:15" x14ac:dyDescent="0.35">
      <c r="A17" t="s">
        <v>304</v>
      </c>
      <c r="B17">
        <v>195</v>
      </c>
      <c r="C17" t="s">
        <v>138</v>
      </c>
      <c r="D17">
        <v>59.75</v>
      </c>
      <c r="E17">
        <v>-4.6699979999999996</v>
      </c>
      <c r="F17">
        <v>-7.2492989999999997</v>
      </c>
      <c r="G17">
        <v>12</v>
      </c>
      <c r="H17">
        <v>165</v>
      </c>
      <c r="I17">
        <v>59.7</v>
      </c>
      <c r="J17">
        <v>60.75</v>
      </c>
      <c r="K17" t="s">
        <v>139</v>
      </c>
      <c r="L17" s="2">
        <v>45653</v>
      </c>
      <c r="M17" s="2">
        <v>45653</v>
      </c>
      <c r="N17">
        <v>2.5234411914062398</v>
      </c>
      <c r="O17" t="b">
        <v>1</v>
      </c>
    </row>
    <row r="18" spans="1:15" x14ac:dyDescent="0.35">
      <c r="A18" t="s">
        <v>305</v>
      </c>
      <c r="B18">
        <v>200</v>
      </c>
      <c r="C18" t="s">
        <v>138</v>
      </c>
      <c r="D18">
        <v>54.98</v>
      </c>
      <c r="E18">
        <v>-4.4700009999999999</v>
      </c>
      <c r="F18">
        <v>-7.5189250000000003</v>
      </c>
      <c r="G18">
        <v>68</v>
      </c>
      <c r="H18">
        <v>289</v>
      </c>
      <c r="I18">
        <v>54.85</v>
      </c>
      <c r="J18">
        <v>55.65</v>
      </c>
      <c r="K18" t="s">
        <v>139</v>
      </c>
      <c r="L18" s="2">
        <v>45653</v>
      </c>
      <c r="M18" s="2">
        <v>45653</v>
      </c>
      <c r="N18">
        <v>2.3554728613281202</v>
      </c>
      <c r="O18" t="b">
        <v>1</v>
      </c>
    </row>
    <row r="19" spans="1:15" x14ac:dyDescent="0.35">
      <c r="A19" t="s">
        <v>306</v>
      </c>
      <c r="B19">
        <v>205</v>
      </c>
      <c r="C19" t="s">
        <v>138</v>
      </c>
      <c r="D19">
        <v>50.17</v>
      </c>
      <c r="E19">
        <v>-3.630001</v>
      </c>
      <c r="F19">
        <v>-6.7472143000000004</v>
      </c>
      <c r="G19">
        <v>7</v>
      </c>
      <c r="H19">
        <v>115</v>
      </c>
      <c r="I19">
        <v>49.65</v>
      </c>
      <c r="J19">
        <v>50.7</v>
      </c>
      <c r="K19" t="s">
        <v>139</v>
      </c>
      <c r="L19" s="2">
        <v>45653</v>
      </c>
      <c r="M19" s="2">
        <v>45653</v>
      </c>
      <c r="N19">
        <v>2.0332080419921801</v>
      </c>
      <c r="O19" t="b">
        <v>1</v>
      </c>
    </row>
    <row r="20" spans="1:15" x14ac:dyDescent="0.35">
      <c r="A20" t="s">
        <v>307</v>
      </c>
      <c r="B20">
        <v>207.5</v>
      </c>
      <c r="C20" t="s">
        <v>138</v>
      </c>
      <c r="D20">
        <v>47.05</v>
      </c>
      <c r="E20">
        <v>-4.7999989999999997</v>
      </c>
      <c r="F20">
        <v>-9.2574729999999992</v>
      </c>
      <c r="G20">
        <v>682</v>
      </c>
      <c r="H20">
        <v>680</v>
      </c>
      <c r="I20">
        <v>46.8</v>
      </c>
      <c r="J20">
        <v>48.15</v>
      </c>
      <c r="K20" t="s">
        <v>139</v>
      </c>
      <c r="L20" s="2">
        <v>45653</v>
      </c>
      <c r="M20" s="2">
        <v>45653</v>
      </c>
      <c r="N20">
        <v>2.4355507861328101</v>
      </c>
      <c r="O20" t="b">
        <v>1</v>
      </c>
    </row>
    <row r="21" spans="1:15" x14ac:dyDescent="0.35">
      <c r="A21" t="s">
        <v>308</v>
      </c>
      <c r="B21">
        <v>210</v>
      </c>
      <c r="C21" t="s">
        <v>138</v>
      </c>
      <c r="D21">
        <v>45.1</v>
      </c>
      <c r="E21">
        <v>-4.34</v>
      </c>
      <c r="F21">
        <v>-8.7783169999999995</v>
      </c>
      <c r="G21">
        <v>18</v>
      </c>
      <c r="H21">
        <v>116</v>
      </c>
      <c r="I21">
        <v>44.05</v>
      </c>
      <c r="J21">
        <v>45.75</v>
      </c>
      <c r="K21" t="s">
        <v>139</v>
      </c>
      <c r="L21" s="2">
        <v>45653</v>
      </c>
      <c r="M21" s="2">
        <v>45653</v>
      </c>
      <c r="N21">
        <v>2.3925821435546801</v>
      </c>
      <c r="O21" t="b">
        <v>1</v>
      </c>
    </row>
    <row r="22" spans="1:15" x14ac:dyDescent="0.35">
      <c r="A22" t="s">
        <v>309</v>
      </c>
      <c r="B22">
        <v>212.5</v>
      </c>
      <c r="C22" t="s">
        <v>138</v>
      </c>
      <c r="D22">
        <v>40.85</v>
      </c>
      <c r="E22">
        <v>-5.2600020000000001</v>
      </c>
      <c r="F22">
        <v>-11.407508999999999</v>
      </c>
      <c r="G22">
        <v>1</v>
      </c>
      <c r="H22">
        <v>8</v>
      </c>
      <c r="I22">
        <v>42.25</v>
      </c>
      <c r="J22">
        <v>43.2</v>
      </c>
      <c r="K22" t="s">
        <v>139</v>
      </c>
      <c r="L22" s="2">
        <v>45653</v>
      </c>
      <c r="M22" s="2">
        <v>45653</v>
      </c>
      <c r="N22">
        <v>1.8125009374999901</v>
      </c>
      <c r="O22" t="b">
        <v>1</v>
      </c>
    </row>
    <row r="23" spans="1:15" x14ac:dyDescent="0.35">
      <c r="A23" t="s">
        <v>310</v>
      </c>
      <c r="B23">
        <v>215</v>
      </c>
      <c r="C23" t="s">
        <v>138</v>
      </c>
      <c r="D23">
        <v>39.75</v>
      </c>
      <c r="E23">
        <v>-4.5200005000000001</v>
      </c>
      <c r="F23">
        <v>-10.210075</v>
      </c>
      <c r="G23">
        <v>62</v>
      </c>
      <c r="H23">
        <v>761</v>
      </c>
      <c r="I23">
        <v>39.75</v>
      </c>
      <c r="J23">
        <v>41.1</v>
      </c>
      <c r="K23" t="s">
        <v>139</v>
      </c>
      <c r="L23" s="2">
        <v>45653</v>
      </c>
      <c r="M23" s="2">
        <v>45653</v>
      </c>
      <c r="N23">
        <v>1.9179691601562501</v>
      </c>
      <c r="O23" t="b">
        <v>1</v>
      </c>
    </row>
    <row r="24" spans="1:15" x14ac:dyDescent="0.35">
      <c r="A24" t="s">
        <v>311</v>
      </c>
      <c r="B24">
        <v>217.5</v>
      </c>
      <c r="C24" t="s">
        <v>138</v>
      </c>
      <c r="D24">
        <v>36.950000000000003</v>
      </c>
      <c r="E24">
        <v>-4.380001</v>
      </c>
      <c r="F24">
        <v>-10.597631</v>
      </c>
      <c r="G24">
        <v>2</v>
      </c>
      <c r="H24">
        <v>6</v>
      </c>
      <c r="I24">
        <v>36.65</v>
      </c>
      <c r="J24">
        <v>38.25</v>
      </c>
      <c r="K24" t="s">
        <v>139</v>
      </c>
      <c r="L24" s="2">
        <v>45653</v>
      </c>
      <c r="M24" s="2">
        <v>45652</v>
      </c>
      <c r="N24">
        <v>2.0410205224609301</v>
      </c>
      <c r="O24" t="b">
        <v>1</v>
      </c>
    </row>
    <row r="25" spans="1:15" x14ac:dyDescent="0.35">
      <c r="A25" t="s">
        <v>312</v>
      </c>
      <c r="B25">
        <v>220</v>
      </c>
      <c r="C25" t="s">
        <v>138</v>
      </c>
      <c r="D25">
        <v>35.43</v>
      </c>
      <c r="E25">
        <v>-3.7900010000000002</v>
      </c>
      <c r="F25">
        <v>-9.6634390000000003</v>
      </c>
      <c r="G25">
        <v>54</v>
      </c>
      <c r="H25">
        <v>711</v>
      </c>
      <c r="I25">
        <v>34.799999999999997</v>
      </c>
      <c r="J25">
        <v>35.4</v>
      </c>
      <c r="K25" t="s">
        <v>139</v>
      </c>
      <c r="L25" s="2">
        <v>45653</v>
      </c>
      <c r="M25" s="2">
        <v>45653</v>
      </c>
      <c r="N25">
        <v>1.33789393554687</v>
      </c>
      <c r="O25" t="b">
        <v>1</v>
      </c>
    </row>
    <row r="26" spans="1:15" x14ac:dyDescent="0.35">
      <c r="A26" t="s">
        <v>313</v>
      </c>
      <c r="B26">
        <v>222.5</v>
      </c>
      <c r="C26" t="s">
        <v>138</v>
      </c>
      <c r="D26">
        <v>32.1</v>
      </c>
      <c r="E26">
        <v>-4.3500022999999999</v>
      </c>
      <c r="F26">
        <v>-11.934163</v>
      </c>
      <c r="G26">
        <v>1</v>
      </c>
      <c r="H26">
        <v>19</v>
      </c>
      <c r="I26">
        <v>31.8</v>
      </c>
      <c r="J26">
        <v>33.65</v>
      </c>
      <c r="K26" t="s">
        <v>139</v>
      </c>
      <c r="L26" s="2">
        <v>45653</v>
      </c>
      <c r="M26" s="2">
        <v>45653</v>
      </c>
      <c r="N26">
        <v>1.41797166015625</v>
      </c>
      <c r="O26" t="b">
        <v>1</v>
      </c>
    </row>
    <row r="27" spans="1:15" x14ac:dyDescent="0.35">
      <c r="A27" t="s">
        <v>314</v>
      </c>
      <c r="B27">
        <v>225</v>
      </c>
      <c r="C27" t="s">
        <v>138</v>
      </c>
      <c r="D27">
        <v>30.35</v>
      </c>
      <c r="E27">
        <v>-4.050001</v>
      </c>
      <c r="F27">
        <v>-11.773258999999999</v>
      </c>
      <c r="G27">
        <v>100</v>
      </c>
      <c r="H27">
        <v>2153</v>
      </c>
      <c r="I27">
        <v>29.85</v>
      </c>
      <c r="J27">
        <v>30.25</v>
      </c>
      <c r="K27" t="s">
        <v>139</v>
      </c>
      <c r="L27" s="2">
        <v>45653</v>
      </c>
      <c r="M27" s="2">
        <v>45653</v>
      </c>
      <c r="N27">
        <v>1.0585984570312501</v>
      </c>
      <c r="O27" t="b">
        <v>1</v>
      </c>
    </row>
    <row r="28" spans="1:15" x14ac:dyDescent="0.35">
      <c r="A28" t="s">
        <v>315</v>
      </c>
      <c r="B28">
        <v>227.5</v>
      </c>
      <c r="C28" t="s">
        <v>138</v>
      </c>
      <c r="D28">
        <v>27.92</v>
      </c>
      <c r="E28">
        <v>-3.4300003000000001</v>
      </c>
      <c r="F28">
        <v>-10.940989500000001</v>
      </c>
      <c r="G28">
        <v>14</v>
      </c>
      <c r="H28">
        <v>60</v>
      </c>
      <c r="I28">
        <v>27.25</v>
      </c>
      <c r="J28">
        <v>28.2</v>
      </c>
      <c r="K28" t="s">
        <v>139</v>
      </c>
      <c r="L28" s="2">
        <v>45653</v>
      </c>
      <c r="M28" s="2">
        <v>45653</v>
      </c>
      <c r="N28">
        <v>1.22266013671875</v>
      </c>
      <c r="O28" t="b">
        <v>1</v>
      </c>
    </row>
    <row r="29" spans="1:15" x14ac:dyDescent="0.35">
      <c r="A29" t="s">
        <v>316</v>
      </c>
      <c r="B29">
        <v>230</v>
      </c>
      <c r="C29" t="s">
        <v>138</v>
      </c>
      <c r="D29">
        <v>25.35</v>
      </c>
      <c r="E29">
        <v>-3.8999996000000001</v>
      </c>
      <c r="F29">
        <v>-13.333332</v>
      </c>
      <c r="G29">
        <v>298</v>
      </c>
      <c r="H29">
        <v>2266</v>
      </c>
      <c r="I29">
        <v>24.9</v>
      </c>
      <c r="J29">
        <v>25.15</v>
      </c>
      <c r="K29" t="s">
        <v>139</v>
      </c>
      <c r="L29" s="2">
        <v>45653</v>
      </c>
      <c r="M29" s="2">
        <v>45653</v>
      </c>
      <c r="N29">
        <v>0.82812671874999899</v>
      </c>
      <c r="O29" t="b">
        <v>1</v>
      </c>
    </row>
    <row r="30" spans="1:15" x14ac:dyDescent="0.35">
      <c r="A30" t="s">
        <v>317</v>
      </c>
      <c r="B30">
        <v>232.5</v>
      </c>
      <c r="C30" t="s">
        <v>138</v>
      </c>
      <c r="D30">
        <v>22.86</v>
      </c>
      <c r="E30">
        <v>-4.0699997000000003</v>
      </c>
      <c r="F30">
        <v>-15.113255499999999</v>
      </c>
      <c r="G30">
        <v>62</v>
      </c>
      <c r="H30">
        <v>307</v>
      </c>
      <c r="I30">
        <v>21.7</v>
      </c>
      <c r="J30">
        <v>23.05</v>
      </c>
      <c r="K30" t="s">
        <v>139</v>
      </c>
      <c r="L30" s="2">
        <v>45653</v>
      </c>
      <c r="M30" s="2">
        <v>45653</v>
      </c>
      <c r="N30">
        <v>1.24219128906249</v>
      </c>
      <c r="O30" t="b">
        <v>1</v>
      </c>
    </row>
    <row r="31" spans="1:15" x14ac:dyDescent="0.35">
      <c r="A31" t="s">
        <v>318</v>
      </c>
      <c r="B31">
        <v>235</v>
      </c>
      <c r="C31" t="s">
        <v>138</v>
      </c>
      <c r="D31">
        <v>20.27</v>
      </c>
      <c r="E31">
        <v>-4.119999</v>
      </c>
      <c r="F31">
        <v>-16.892164000000001</v>
      </c>
      <c r="G31">
        <v>1215</v>
      </c>
      <c r="H31">
        <v>5194</v>
      </c>
      <c r="I31">
        <v>20.05</v>
      </c>
      <c r="J31">
        <v>20.75</v>
      </c>
      <c r="K31" t="s">
        <v>139</v>
      </c>
      <c r="L31" s="2">
        <v>45653</v>
      </c>
      <c r="M31" s="2">
        <v>45653</v>
      </c>
      <c r="N31">
        <v>1.0488328808593701</v>
      </c>
      <c r="O31" t="b">
        <v>1</v>
      </c>
    </row>
    <row r="32" spans="1:15" x14ac:dyDescent="0.35">
      <c r="A32" t="s">
        <v>319</v>
      </c>
      <c r="B32">
        <v>237.5</v>
      </c>
      <c r="C32" t="s">
        <v>138</v>
      </c>
      <c r="D32">
        <v>17.88</v>
      </c>
      <c r="E32">
        <v>-4.17</v>
      </c>
      <c r="F32">
        <v>-18.911566000000001</v>
      </c>
      <c r="G32">
        <v>608</v>
      </c>
      <c r="H32">
        <v>840</v>
      </c>
      <c r="I32">
        <v>16.8</v>
      </c>
      <c r="J32">
        <v>18.25</v>
      </c>
      <c r="K32" t="s">
        <v>139</v>
      </c>
      <c r="L32" s="2">
        <v>45653</v>
      </c>
      <c r="M32" s="2">
        <v>45653</v>
      </c>
      <c r="N32">
        <v>0.59375406249999996</v>
      </c>
      <c r="O32" t="b">
        <v>1</v>
      </c>
    </row>
    <row r="33" spans="1:15" x14ac:dyDescent="0.35">
      <c r="A33" t="s">
        <v>320</v>
      </c>
      <c r="B33">
        <v>240</v>
      </c>
      <c r="C33" t="s">
        <v>138</v>
      </c>
      <c r="D33">
        <v>15.03</v>
      </c>
      <c r="E33">
        <v>-4.0700006000000002</v>
      </c>
      <c r="F33">
        <v>-21.308903000000001</v>
      </c>
      <c r="G33">
        <v>552</v>
      </c>
      <c r="H33">
        <v>4977</v>
      </c>
      <c r="I33">
        <v>14.95</v>
      </c>
      <c r="J33">
        <v>15.15</v>
      </c>
      <c r="K33" t="s">
        <v>139</v>
      </c>
      <c r="L33" s="2">
        <v>45653</v>
      </c>
      <c r="M33" s="2">
        <v>45653</v>
      </c>
      <c r="N33">
        <v>0.56641058593750004</v>
      </c>
      <c r="O33" t="b">
        <v>1</v>
      </c>
    </row>
    <row r="34" spans="1:15" x14ac:dyDescent="0.35">
      <c r="A34" t="s">
        <v>321</v>
      </c>
      <c r="B34">
        <v>242.5</v>
      </c>
      <c r="C34" t="s">
        <v>138</v>
      </c>
      <c r="D34">
        <v>12.8</v>
      </c>
      <c r="E34">
        <v>-3.9000005999999998</v>
      </c>
      <c r="F34">
        <v>-23.353296</v>
      </c>
      <c r="G34">
        <v>412</v>
      </c>
      <c r="H34">
        <v>1512</v>
      </c>
      <c r="I34">
        <v>12.45</v>
      </c>
      <c r="J34">
        <v>12.6</v>
      </c>
      <c r="K34" t="s">
        <v>139</v>
      </c>
      <c r="L34" s="2">
        <v>45653</v>
      </c>
      <c r="M34" s="2">
        <v>45653</v>
      </c>
      <c r="N34">
        <v>0.53906710937500002</v>
      </c>
      <c r="O34" t="b">
        <v>1</v>
      </c>
    </row>
    <row r="35" spans="1:15" x14ac:dyDescent="0.35">
      <c r="A35" t="s">
        <v>322</v>
      </c>
      <c r="B35">
        <v>245</v>
      </c>
      <c r="C35" t="s">
        <v>138</v>
      </c>
      <c r="D35">
        <v>10.1</v>
      </c>
      <c r="E35">
        <v>-4.0999993999999997</v>
      </c>
      <c r="F35">
        <v>-28.873235999999999</v>
      </c>
      <c r="G35">
        <v>7000</v>
      </c>
      <c r="H35">
        <v>7716</v>
      </c>
      <c r="I35">
        <v>9.9499999999999993</v>
      </c>
      <c r="J35">
        <v>10.1</v>
      </c>
      <c r="K35" t="s">
        <v>139</v>
      </c>
      <c r="L35" s="2">
        <v>45653</v>
      </c>
      <c r="M35" s="2">
        <v>45653</v>
      </c>
      <c r="N35">
        <v>0.44727115234374998</v>
      </c>
      <c r="O35" t="b">
        <v>1</v>
      </c>
    </row>
    <row r="36" spans="1:15" x14ac:dyDescent="0.35">
      <c r="A36" t="s">
        <v>323</v>
      </c>
      <c r="B36">
        <v>247.5</v>
      </c>
      <c r="C36" t="s">
        <v>138</v>
      </c>
      <c r="D36">
        <v>7.5</v>
      </c>
      <c r="E36">
        <v>-4.37</v>
      </c>
      <c r="F36">
        <v>-36.815502000000002</v>
      </c>
      <c r="G36">
        <v>494</v>
      </c>
      <c r="H36">
        <v>4677</v>
      </c>
      <c r="I36">
        <v>7.45</v>
      </c>
      <c r="J36">
        <v>7.6</v>
      </c>
      <c r="K36" t="s">
        <v>139</v>
      </c>
      <c r="L36" s="2">
        <v>45653</v>
      </c>
      <c r="M36" s="2">
        <v>45653</v>
      </c>
      <c r="N36">
        <v>0.353522089843749</v>
      </c>
      <c r="O36" t="b">
        <v>1</v>
      </c>
    </row>
    <row r="37" spans="1:15" x14ac:dyDescent="0.35">
      <c r="A37" t="s">
        <v>324</v>
      </c>
      <c r="B37">
        <v>250</v>
      </c>
      <c r="C37" t="s">
        <v>138</v>
      </c>
      <c r="D37">
        <v>5.05</v>
      </c>
      <c r="E37">
        <v>-4.25</v>
      </c>
      <c r="F37">
        <v>-45.945945999999999</v>
      </c>
      <c r="G37">
        <v>2937</v>
      </c>
      <c r="H37">
        <v>17238</v>
      </c>
      <c r="I37">
        <v>5</v>
      </c>
      <c r="J37">
        <v>5.0999999999999996</v>
      </c>
      <c r="K37" t="s">
        <v>139</v>
      </c>
      <c r="L37" s="2">
        <v>45653</v>
      </c>
      <c r="M37" s="2">
        <v>45653</v>
      </c>
      <c r="N37">
        <v>0.25586681640624998</v>
      </c>
      <c r="O37" t="b">
        <v>1</v>
      </c>
    </row>
    <row r="38" spans="1:15" x14ac:dyDescent="0.35">
      <c r="A38" t="s">
        <v>325</v>
      </c>
      <c r="B38">
        <v>252.5</v>
      </c>
      <c r="C38" t="s">
        <v>138</v>
      </c>
      <c r="D38">
        <v>2.46</v>
      </c>
      <c r="E38">
        <v>-4.3099999999999996</v>
      </c>
      <c r="F38">
        <v>-63.196483999999998</v>
      </c>
      <c r="G38">
        <v>8923</v>
      </c>
      <c r="H38">
        <v>9577</v>
      </c>
      <c r="I38">
        <v>2.46</v>
      </c>
      <c r="J38">
        <v>2.56</v>
      </c>
      <c r="K38" t="s">
        <v>139</v>
      </c>
      <c r="L38" s="2">
        <v>45653</v>
      </c>
      <c r="M38" s="2">
        <v>45653</v>
      </c>
      <c r="N38">
        <v>0.133797724609375</v>
      </c>
      <c r="O38" t="b">
        <v>1</v>
      </c>
    </row>
    <row r="39" spans="1:15" x14ac:dyDescent="0.35">
      <c r="A39" t="s">
        <v>326</v>
      </c>
      <c r="B39">
        <v>255</v>
      </c>
      <c r="C39" t="s">
        <v>138</v>
      </c>
      <c r="D39">
        <v>0.25</v>
      </c>
      <c r="E39">
        <v>-3.9699998000000001</v>
      </c>
      <c r="F39">
        <v>-94.299289999999999</v>
      </c>
      <c r="G39">
        <v>110090</v>
      </c>
      <c r="H39">
        <v>24436</v>
      </c>
      <c r="I39">
        <v>0.24</v>
      </c>
      <c r="J39">
        <v>0.26</v>
      </c>
      <c r="K39" t="s">
        <v>139</v>
      </c>
      <c r="L39" s="2">
        <v>45653</v>
      </c>
      <c r="M39" s="2">
        <v>45653</v>
      </c>
      <c r="N39">
        <v>4.9325913085937499E-2</v>
      </c>
      <c r="O39" t="b">
        <v>0</v>
      </c>
    </row>
    <row r="40" spans="1:15" x14ac:dyDescent="0.35">
      <c r="A40" t="s">
        <v>327</v>
      </c>
      <c r="B40">
        <v>257.5</v>
      </c>
      <c r="C40" t="s">
        <v>138</v>
      </c>
      <c r="D40">
        <v>0.01</v>
      </c>
      <c r="E40">
        <v>-1.99</v>
      </c>
      <c r="F40">
        <v>-99.5</v>
      </c>
      <c r="G40">
        <v>73391</v>
      </c>
      <c r="H40">
        <v>32606</v>
      </c>
      <c r="I40">
        <v>0</v>
      </c>
      <c r="J40">
        <v>0.01</v>
      </c>
      <c r="K40" t="s">
        <v>139</v>
      </c>
      <c r="L40" s="2">
        <v>45653</v>
      </c>
      <c r="M40" s="2">
        <v>45653</v>
      </c>
      <c r="N40">
        <v>9.3759062500000004E-2</v>
      </c>
      <c r="O40" t="b">
        <v>0</v>
      </c>
    </row>
    <row r="41" spans="1:15" x14ac:dyDescent="0.35">
      <c r="A41" t="s">
        <v>328</v>
      </c>
      <c r="B41">
        <v>260</v>
      </c>
      <c r="C41" t="s">
        <v>138</v>
      </c>
      <c r="D41">
        <v>0.01</v>
      </c>
      <c r="E41">
        <v>-0.51</v>
      </c>
      <c r="F41">
        <v>-98.076930000000004</v>
      </c>
      <c r="G41">
        <v>44336</v>
      </c>
      <c r="H41">
        <v>30448</v>
      </c>
      <c r="I41">
        <v>0</v>
      </c>
      <c r="J41">
        <v>0.01</v>
      </c>
      <c r="K41" t="s">
        <v>139</v>
      </c>
      <c r="L41" s="2">
        <v>45653</v>
      </c>
      <c r="M41" s="2">
        <v>45653</v>
      </c>
      <c r="N41">
        <v>0.16407085937499999</v>
      </c>
      <c r="O41" t="b">
        <v>0</v>
      </c>
    </row>
    <row r="42" spans="1:15" x14ac:dyDescent="0.35">
      <c r="A42" t="s">
        <v>329</v>
      </c>
      <c r="B42">
        <v>262.5</v>
      </c>
      <c r="C42" t="s">
        <v>138</v>
      </c>
      <c r="D42">
        <v>0.01</v>
      </c>
      <c r="E42">
        <v>-7.0000000000000007E-2</v>
      </c>
      <c r="F42">
        <v>-87.5</v>
      </c>
      <c r="G42">
        <v>27809</v>
      </c>
      <c r="H42">
        <v>26372</v>
      </c>
      <c r="I42">
        <v>0</v>
      </c>
      <c r="J42">
        <v>0.01</v>
      </c>
      <c r="K42" t="s">
        <v>139</v>
      </c>
      <c r="L42" s="2">
        <v>45653</v>
      </c>
      <c r="M42" s="2">
        <v>45653</v>
      </c>
      <c r="N42">
        <v>0.23438265624999999</v>
      </c>
      <c r="O42" t="b">
        <v>0</v>
      </c>
    </row>
    <row r="43" spans="1:15" x14ac:dyDescent="0.35">
      <c r="A43" t="s">
        <v>330</v>
      </c>
      <c r="B43">
        <v>265</v>
      </c>
      <c r="C43" t="s">
        <v>138</v>
      </c>
      <c r="D43">
        <v>0.01</v>
      </c>
      <c r="E43">
        <v>-0.01</v>
      </c>
      <c r="F43">
        <v>-50</v>
      </c>
      <c r="G43">
        <v>14286</v>
      </c>
      <c r="H43">
        <v>35063</v>
      </c>
      <c r="I43">
        <v>0</v>
      </c>
      <c r="J43">
        <v>0.01</v>
      </c>
      <c r="K43" t="s">
        <v>139</v>
      </c>
      <c r="L43" s="2">
        <v>45653</v>
      </c>
      <c r="M43" s="2">
        <v>45653</v>
      </c>
      <c r="N43">
        <v>0.30469445312499999</v>
      </c>
      <c r="O43" t="b">
        <v>0</v>
      </c>
    </row>
    <row r="44" spans="1:15" x14ac:dyDescent="0.35">
      <c r="A44" t="s">
        <v>331</v>
      </c>
      <c r="B44">
        <v>267.5</v>
      </c>
      <c r="C44" t="s">
        <v>138</v>
      </c>
      <c r="D44">
        <v>0.01</v>
      </c>
      <c r="E44">
        <v>0</v>
      </c>
      <c r="F44">
        <v>0</v>
      </c>
      <c r="G44">
        <v>3348</v>
      </c>
      <c r="H44">
        <v>9797</v>
      </c>
      <c r="I44">
        <v>0</v>
      </c>
      <c r="J44">
        <v>0.01</v>
      </c>
      <c r="K44" t="s">
        <v>139</v>
      </c>
      <c r="L44" s="2">
        <v>45653</v>
      </c>
      <c r="M44" s="2">
        <v>45653</v>
      </c>
      <c r="N44">
        <v>0.36719382812500001</v>
      </c>
      <c r="O44" t="b">
        <v>0</v>
      </c>
    </row>
    <row r="45" spans="1:15" x14ac:dyDescent="0.35">
      <c r="A45" t="s">
        <v>332</v>
      </c>
      <c r="B45">
        <v>270</v>
      </c>
      <c r="C45" t="s">
        <v>138</v>
      </c>
      <c r="D45">
        <v>0.01</v>
      </c>
      <c r="E45">
        <v>0</v>
      </c>
      <c r="F45">
        <v>0</v>
      </c>
      <c r="G45">
        <v>14</v>
      </c>
      <c r="H45">
        <v>4076</v>
      </c>
      <c r="I45">
        <v>0</v>
      </c>
      <c r="J45">
        <v>0.01</v>
      </c>
      <c r="K45" t="s">
        <v>139</v>
      </c>
      <c r="L45" s="2">
        <v>45653</v>
      </c>
      <c r="M45" s="2">
        <v>45653</v>
      </c>
      <c r="N45">
        <v>0.42969320312499998</v>
      </c>
      <c r="O45" t="b">
        <v>0</v>
      </c>
    </row>
    <row r="46" spans="1:15" x14ac:dyDescent="0.35">
      <c r="A46" t="s">
        <v>333</v>
      </c>
      <c r="B46">
        <v>272.5</v>
      </c>
      <c r="C46" t="s">
        <v>138</v>
      </c>
      <c r="D46">
        <v>0.01</v>
      </c>
      <c r="E46">
        <v>0</v>
      </c>
      <c r="F46">
        <v>0</v>
      </c>
      <c r="G46">
        <v>37</v>
      </c>
      <c r="H46">
        <v>809</v>
      </c>
      <c r="I46">
        <v>0</v>
      </c>
      <c r="J46">
        <v>0.01</v>
      </c>
      <c r="K46" t="s">
        <v>139</v>
      </c>
      <c r="L46" s="2">
        <v>45653</v>
      </c>
      <c r="M46" s="2">
        <v>45652</v>
      </c>
      <c r="N46">
        <v>0.48438015625000003</v>
      </c>
      <c r="O46" t="b">
        <v>0</v>
      </c>
    </row>
    <row r="47" spans="1:15" x14ac:dyDescent="0.35">
      <c r="A47" t="s">
        <v>334</v>
      </c>
      <c r="B47">
        <v>275</v>
      </c>
      <c r="C47" t="s">
        <v>138</v>
      </c>
      <c r="D47">
        <v>0.01</v>
      </c>
      <c r="E47">
        <v>0</v>
      </c>
      <c r="F47">
        <v>0</v>
      </c>
      <c r="G47">
        <v>3</v>
      </c>
      <c r="H47">
        <v>1227</v>
      </c>
      <c r="I47">
        <v>0</v>
      </c>
      <c r="J47">
        <v>0.01</v>
      </c>
      <c r="K47" t="s">
        <v>139</v>
      </c>
      <c r="L47" s="2">
        <v>45653</v>
      </c>
      <c r="M47" s="2">
        <v>45653</v>
      </c>
      <c r="N47">
        <v>0.51562984374999998</v>
      </c>
      <c r="O47" t="b">
        <v>0</v>
      </c>
    </row>
    <row r="48" spans="1:15" x14ac:dyDescent="0.35">
      <c r="A48" t="s">
        <v>335</v>
      </c>
      <c r="B48">
        <v>277.5</v>
      </c>
      <c r="C48" t="s">
        <v>138</v>
      </c>
      <c r="D48">
        <v>0.01</v>
      </c>
      <c r="E48">
        <v>0</v>
      </c>
      <c r="F48">
        <v>0</v>
      </c>
      <c r="G48">
        <v>3</v>
      </c>
      <c r="H48">
        <v>376</v>
      </c>
      <c r="I48">
        <v>0</v>
      </c>
      <c r="J48">
        <v>0.01</v>
      </c>
      <c r="K48" t="s">
        <v>139</v>
      </c>
      <c r="L48" s="2">
        <v>45653</v>
      </c>
      <c r="M48" s="2">
        <v>45650</v>
      </c>
      <c r="N48">
        <v>0.56250437499999995</v>
      </c>
      <c r="O48" t="b">
        <v>0</v>
      </c>
    </row>
    <row r="49" spans="1:15" x14ac:dyDescent="0.35">
      <c r="A49" t="s">
        <v>336</v>
      </c>
      <c r="B49">
        <v>280</v>
      </c>
      <c r="C49" t="s">
        <v>138</v>
      </c>
      <c r="D49">
        <v>0.01</v>
      </c>
      <c r="E49">
        <v>0</v>
      </c>
      <c r="F49">
        <v>0</v>
      </c>
      <c r="G49">
        <v>1</v>
      </c>
      <c r="H49">
        <v>819</v>
      </c>
      <c r="I49">
        <v>0</v>
      </c>
      <c r="J49">
        <v>0.01</v>
      </c>
      <c r="K49" t="s">
        <v>139</v>
      </c>
      <c r="L49" s="2">
        <v>45653</v>
      </c>
      <c r="M49" s="2">
        <v>45649</v>
      </c>
      <c r="N49">
        <v>0.62500374999999997</v>
      </c>
      <c r="O49" t="b">
        <v>0</v>
      </c>
    </row>
    <row r="50" spans="1:15" x14ac:dyDescent="0.35">
      <c r="A50" t="s">
        <v>337</v>
      </c>
      <c r="B50">
        <v>282.5</v>
      </c>
      <c r="C50" t="s">
        <v>138</v>
      </c>
      <c r="D50">
        <v>0.01</v>
      </c>
      <c r="E50">
        <v>0</v>
      </c>
      <c r="F50">
        <v>0</v>
      </c>
      <c r="G50">
        <v>8</v>
      </c>
      <c r="H50">
        <v>1279</v>
      </c>
      <c r="I50">
        <v>0</v>
      </c>
      <c r="J50">
        <v>0.01</v>
      </c>
      <c r="K50" t="s">
        <v>139</v>
      </c>
      <c r="L50" s="2">
        <v>45653</v>
      </c>
      <c r="M50" s="2">
        <v>45649</v>
      </c>
      <c r="N50">
        <v>0.67187828125000004</v>
      </c>
      <c r="O50" t="b">
        <v>0</v>
      </c>
    </row>
    <row r="51" spans="1:15" x14ac:dyDescent="0.35">
      <c r="A51" t="s">
        <v>338</v>
      </c>
      <c r="B51">
        <v>285</v>
      </c>
      <c r="C51" t="s">
        <v>138</v>
      </c>
      <c r="D51">
        <v>0.01</v>
      </c>
      <c r="E51">
        <v>0</v>
      </c>
      <c r="F51">
        <v>0</v>
      </c>
      <c r="G51">
        <v>1</v>
      </c>
      <c r="H51">
        <v>356</v>
      </c>
      <c r="I51">
        <v>0</v>
      </c>
      <c r="J51">
        <v>0.01</v>
      </c>
      <c r="K51" t="s">
        <v>139</v>
      </c>
      <c r="L51" s="2">
        <v>45653</v>
      </c>
      <c r="M51" s="2">
        <v>45653</v>
      </c>
      <c r="N51">
        <v>0.7187528125</v>
      </c>
      <c r="O51" t="b">
        <v>0</v>
      </c>
    </row>
    <row r="52" spans="1:15" x14ac:dyDescent="0.35">
      <c r="A52" t="s">
        <v>339</v>
      </c>
      <c r="B52">
        <v>290</v>
      </c>
      <c r="C52" t="s">
        <v>138</v>
      </c>
      <c r="D52">
        <v>0.01</v>
      </c>
      <c r="E52">
        <v>0</v>
      </c>
      <c r="F52">
        <v>0</v>
      </c>
      <c r="G52">
        <v>2</v>
      </c>
      <c r="H52">
        <v>262</v>
      </c>
      <c r="I52">
        <v>0</v>
      </c>
      <c r="J52">
        <v>0.01</v>
      </c>
      <c r="K52" t="s">
        <v>139</v>
      </c>
      <c r="L52" s="2">
        <v>45653</v>
      </c>
      <c r="M52" s="2">
        <v>45649</v>
      </c>
      <c r="N52">
        <v>0.81250187499999904</v>
      </c>
      <c r="O52" t="b">
        <v>0</v>
      </c>
    </row>
    <row r="53" spans="1:15" x14ac:dyDescent="0.35">
      <c r="A53" t="s">
        <v>340</v>
      </c>
      <c r="B53">
        <v>295</v>
      </c>
      <c r="C53" t="s">
        <v>138</v>
      </c>
      <c r="D53">
        <v>0.01</v>
      </c>
      <c r="E53">
        <v>0</v>
      </c>
      <c r="F53">
        <v>0</v>
      </c>
      <c r="G53">
        <v>8</v>
      </c>
      <c r="H53">
        <v>108</v>
      </c>
      <c r="I53">
        <v>0</v>
      </c>
      <c r="J53">
        <v>0.01</v>
      </c>
      <c r="K53" t="s">
        <v>139</v>
      </c>
      <c r="L53" s="2">
        <v>45653</v>
      </c>
      <c r="M53" s="2">
        <v>45649</v>
      </c>
      <c r="N53">
        <v>0.93750062499999998</v>
      </c>
      <c r="O53" t="b">
        <v>0</v>
      </c>
    </row>
    <row r="54" spans="1:15" x14ac:dyDescent="0.35">
      <c r="A54" t="s">
        <v>341</v>
      </c>
      <c r="B54">
        <v>300</v>
      </c>
      <c r="C54" t="s">
        <v>138</v>
      </c>
      <c r="D54">
        <v>0.01</v>
      </c>
      <c r="E54">
        <v>0</v>
      </c>
      <c r="F54">
        <v>0</v>
      </c>
      <c r="G54">
        <v>1</v>
      </c>
      <c r="H54">
        <v>402</v>
      </c>
      <c r="I54">
        <v>0</v>
      </c>
      <c r="J54">
        <v>0.01</v>
      </c>
      <c r="K54" t="s">
        <v>139</v>
      </c>
      <c r="L54" s="2">
        <v>45653</v>
      </c>
      <c r="M54" s="2">
        <v>45653</v>
      </c>
      <c r="N54">
        <v>1.03125484375</v>
      </c>
      <c r="O54" t="b">
        <v>0</v>
      </c>
    </row>
    <row r="55" spans="1:15" x14ac:dyDescent="0.35">
      <c r="A55" t="s">
        <v>342</v>
      </c>
      <c r="B55">
        <v>305</v>
      </c>
      <c r="C55" t="s">
        <v>138</v>
      </c>
      <c r="D55">
        <v>0.01</v>
      </c>
      <c r="E55">
        <v>0</v>
      </c>
      <c r="F55">
        <v>0</v>
      </c>
      <c r="G55">
        <v>2</v>
      </c>
      <c r="H55">
        <v>79</v>
      </c>
      <c r="I55">
        <v>0</v>
      </c>
      <c r="J55">
        <v>0.01</v>
      </c>
      <c r="K55" t="s">
        <v>139</v>
      </c>
      <c r="L55" s="2">
        <v>45653</v>
      </c>
      <c r="M55" s="2">
        <v>45652</v>
      </c>
      <c r="N55">
        <v>1.1250043750000001</v>
      </c>
      <c r="O55" t="b">
        <v>0</v>
      </c>
    </row>
    <row r="56" spans="1:15" x14ac:dyDescent="0.35">
      <c r="A56" t="s">
        <v>343</v>
      </c>
      <c r="B56">
        <v>310</v>
      </c>
      <c r="C56" t="s">
        <v>138</v>
      </c>
      <c r="D56">
        <v>0.01</v>
      </c>
      <c r="E56">
        <v>0</v>
      </c>
      <c r="F56">
        <v>0</v>
      </c>
      <c r="G56">
        <v>1</v>
      </c>
      <c r="H56">
        <v>36</v>
      </c>
      <c r="I56">
        <v>0</v>
      </c>
      <c r="J56">
        <v>0.01</v>
      </c>
      <c r="K56" t="s">
        <v>139</v>
      </c>
      <c r="L56" s="2">
        <v>45653</v>
      </c>
      <c r="M56" s="2">
        <v>45652</v>
      </c>
      <c r="N56">
        <v>1.2187539062499999</v>
      </c>
      <c r="O56" t="b">
        <v>0</v>
      </c>
    </row>
    <row r="57" spans="1:15" x14ac:dyDescent="0.35">
      <c r="A57" t="s">
        <v>344</v>
      </c>
      <c r="B57">
        <v>315</v>
      </c>
      <c r="C57" t="s">
        <v>138</v>
      </c>
      <c r="D57">
        <v>0.01</v>
      </c>
      <c r="E57">
        <v>0</v>
      </c>
      <c r="F57">
        <v>0</v>
      </c>
      <c r="G57">
        <v>16</v>
      </c>
      <c r="H57">
        <v>75</v>
      </c>
      <c r="I57">
        <v>0</v>
      </c>
      <c r="J57">
        <v>0.01</v>
      </c>
      <c r="K57" t="s">
        <v>139</v>
      </c>
      <c r="L57" s="2">
        <v>45653</v>
      </c>
      <c r="M57" s="2">
        <v>45652</v>
      </c>
      <c r="N57">
        <v>1.31250343749999</v>
      </c>
      <c r="O57" t="b">
        <v>0</v>
      </c>
    </row>
    <row r="58" spans="1:15" x14ac:dyDescent="0.35">
      <c r="A58" t="s">
        <v>345</v>
      </c>
      <c r="B58">
        <v>320</v>
      </c>
      <c r="C58" t="s">
        <v>138</v>
      </c>
      <c r="D58">
        <v>0.01</v>
      </c>
      <c r="E58">
        <v>0</v>
      </c>
      <c r="F58">
        <v>0</v>
      </c>
      <c r="G58">
        <v>1</v>
      </c>
      <c r="H58">
        <v>10</v>
      </c>
      <c r="I58">
        <v>0</v>
      </c>
      <c r="J58">
        <v>0.01</v>
      </c>
      <c r="K58" t="s">
        <v>139</v>
      </c>
      <c r="L58" s="2">
        <v>45653</v>
      </c>
      <c r="M58" s="2">
        <v>45653</v>
      </c>
      <c r="N58">
        <v>1.3750031249999899</v>
      </c>
      <c r="O58" t="b">
        <v>0</v>
      </c>
    </row>
    <row r="59" spans="1:15" x14ac:dyDescent="0.35">
      <c r="A59" t="s">
        <v>346</v>
      </c>
      <c r="B59">
        <v>325</v>
      </c>
      <c r="C59" t="s">
        <v>138</v>
      </c>
      <c r="D59">
        <v>0.01</v>
      </c>
      <c r="E59">
        <v>0</v>
      </c>
      <c r="F59">
        <v>0</v>
      </c>
      <c r="G59">
        <v>22</v>
      </c>
      <c r="H59">
        <v>166</v>
      </c>
      <c r="I59">
        <v>0</v>
      </c>
      <c r="J59">
        <v>0.01</v>
      </c>
      <c r="K59" t="s">
        <v>139</v>
      </c>
      <c r="L59" s="2">
        <v>45653</v>
      </c>
      <c r="M59" s="2">
        <v>45653</v>
      </c>
      <c r="N59">
        <v>1.46875265625</v>
      </c>
      <c r="O59" t="b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93ED3-F657-42FE-B6A6-5BBDFC98C6C1}">
  <sheetPr codeName="Feuil2"/>
  <dimension ref="A1:O22"/>
  <sheetViews>
    <sheetView zoomScale="70" zoomScaleNormal="70" workbookViewId="0">
      <selection activeCell="M53" sqref="M53"/>
    </sheetView>
  </sheetViews>
  <sheetFormatPr baseColWidth="10" defaultRowHeight="14.5" x14ac:dyDescent="0.35"/>
  <cols>
    <col min="1" max="1" width="17" bestFit="1" customWidth="1"/>
    <col min="2" max="2" width="8.81640625" bestFit="1" customWidth="1"/>
    <col min="3" max="4" width="11.26953125" bestFit="1" customWidth="1"/>
    <col min="5" max="5" width="10" bestFit="1" customWidth="1"/>
    <col min="6" max="6" width="16.7265625" bestFit="1" customWidth="1"/>
    <col min="7" max="7" width="10.1796875" bestFit="1" customWidth="1"/>
    <col min="8" max="8" width="14.7265625" bestFit="1" customWidth="1"/>
    <col min="9" max="9" width="6.7265625" bestFit="1" customWidth="1"/>
    <col min="10" max="10" width="6.81640625" bestFit="1" customWidth="1"/>
    <col min="11" max="11" width="14.26953125" bestFit="1" customWidth="1"/>
    <col min="12" max="12" width="12.453125" bestFit="1" customWidth="1"/>
    <col min="13" max="13" width="15.54296875" bestFit="1" customWidth="1"/>
    <col min="14" max="14" width="17.6328125" bestFit="1" customWidth="1"/>
    <col min="15" max="15" width="14.08984375" bestFit="1" customWidth="1"/>
  </cols>
  <sheetData>
    <row r="1" spans="1:15" x14ac:dyDescent="0.35">
      <c r="A1" t="s">
        <v>125</v>
      </c>
      <c r="B1" t="s">
        <v>126</v>
      </c>
      <c r="C1" t="s">
        <v>127</v>
      </c>
      <c r="D1" t="s">
        <v>128</v>
      </c>
      <c r="E1" t="s">
        <v>102</v>
      </c>
      <c r="F1" t="s">
        <v>129</v>
      </c>
      <c r="G1" t="s">
        <v>104</v>
      </c>
      <c r="H1" t="s">
        <v>130</v>
      </c>
      <c r="I1" t="s">
        <v>131</v>
      </c>
      <c r="J1" t="s">
        <v>132</v>
      </c>
      <c r="K1" t="s">
        <v>133</v>
      </c>
      <c r="L1" t="s">
        <v>134</v>
      </c>
      <c r="M1" t="s">
        <v>135</v>
      </c>
      <c r="N1" t="s">
        <v>136</v>
      </c>
      <c r="O1" t="s">
        <v>137</v>
      </c>
    </row>
    <row r="2" spans="1:15" x14ac:dyDescent="0.35">
      <c r="A2" t="s">
        <v>207</v>
      </c>
      <c r="B2">
        <v>5</v>
      </c>
      <c r="C2" t="s">
        <v>138</v>
      </c>
      <c r="D2">
        <v>0.01</v>
      </c>
      <c r="E2">
        <v>0</v>
      </c>
      <c r="F2">
        <v>0</v>
      </c>
      <c r="G2">
        <v>106</v>
      </c>
      <c r="H2">
        <v>0</v>
      </c>
      <c r="I2">
        <v>0</v>
      </c>
      <c r="J2">
        <v>0</v>
      </c>
      <c r="K2" t="s">
        <v>139</v>
      </c>
      <c r="L2" s="2">
        <v>45653</v>
      </c>
      <c r="M2" s="2">
        <v>45649</v>
      </c>
      <c r="N2">
        <v>0.50000500000000003</v>
      </c>
      <c r="O2" t="b">
        <v>0</v>
      </c>
    </row>
    <row r="3" spans="1:15" x14ac:dyDescent="0.35">
      <c r="A3" t="s">
        <v>208</v>
      </c>
      <c r="B3">
        <v>5.5</v>
      </c>
      <c r="C3" t="s">
        <v>138</v>
      </c>
      <c r="D3">
        <v>0.02</v>
      </c>
      <c r="E3">
        <v>0</v>
      </c>
      <c r="F3">
        <v>0</v>
      </c>
      <c r="H3">
        <v>0</v>
      </c>
      <c r="I3">
        <v>0</v>
      </c>
      <c r="J3">
        <v>0</v>
      </c>
      <c r="K3" t="s">
        <v>139</v>
      </c>
      <c r="L3" s="2">
        <v>45653</v>
      </c>
      <c r="M3" s="2">
        <v>45644</v>
      </c>
      <c r="N3">
        <v>0.50000500000000003</v>
      </c>
      <c r="O3" t="b">
        <v>0</v>
      </c>
    </row>
    <row r="4" spans="1:15" x14ac:dyDescent="0.35">
      <c r="A4" t="s">
        <v>209</v>
      </c>
      <c r="B4">
        <v>6</v>
      </c>
      <c r="C4" t="s">
        <v>138</v>
      </c>
      <c r="D4">
        <v>0.02</v>
      </c>
      <c r="E4">
        <v>0</v>
      </c>
      <c r="F4">
        <v>0</v>
      </c>
      <c r="G4">
        <v>1</v>
      </c>
      <c r="H4">
        <v>1</v>
      </c>
      <c r="I4">
        <v>0</v>
      </c>
      <c r="J4">
        <v>0.02</v>
      </c>
      <c r="K4" t="s">
        <v>139</v>
      </c>
      <c r="L4" s="2">
        <v>45653</v>
      </c>
      <c r="M4" s="2">
        <v>45615</v>
      </c>
      <c r="N4">
        <v>2.2500043749999898</v>
      </c>
      <c r="O4" t="b">
        <v>0</v>
      </c>
    </row>
    <row r="5" spans="1:15" x14ac:dyDescent="0.35">
      <c r="A5" t="s">
        <v>210</v>
      </c>
      <c r="B5">
        <v>6.5</v>
      </c>
      <c r="C5" t="s">
        <v>138</v>
      </c>
      <c r="D5">
        <v>0.03</v>
      </c>
      <c r="E5">
        <v>0</v>
      </c>
      <c r="F5">
        <v>0</v>
      </c>
      <c r="G5">
        <v>2</v>
      </c>
      <c r="H5">
        <v>0</v>
      </c>
      <c r="I5">
        <v>0</v>
      </c>
      <c r="J5">
        <v>0</v>
      </c>
      <c r="K5" t="s">
        <v>139</v>
      </c>
      <c r="L5" s="2">
        <v>45653</v>
      </c>
      <c r="M5" s="2">
        <v>45635</v>
      </c>
      <c r="N5">
        <v>0.50000500000000003</v>
      </c>
      <c r="O5" t="b">
        <v>0</v>
      </c>
    </row>
    <row r="6" spans="1:15" x14ac:dyDescent="0.35">
      <c r="A6" t="s">
        <v>211</v>
      </c>
      <c r="B6">
        <v>7</v>
      </c>
      <c r="C6" t="s">
        <v>138</v>
      </c>
      <c r="D6">
        <v>0.01</v>
      </c>
      <c r="E6">
        <v>0</v>
      </c>
      <c r="F6">
        <v>0</v>
      </c>
      <c r="G6">
        <v>8</v>
      </c>
      <c r="H6">
        <v>32</v>
      </c>
      <c r="I6">
        <v>0</v>
      </c>
      <c r="J6">
        <v>0</v>
      </c>
      <c r="K6" t="s">
        <v>139</v>
      </c>
      <c r="L6" s="2">
        <v>45653</v>
      </c>
      <c r="M6" s="2">
        <v>45649</v>
      </c>
      <c r="N6">
        <v>0.50000500000000003</v>
      </c>
      <c r="O6" t="b">
        <v>0</v>
      </c>
    </row>
    <row r="7" spans="1:15" x14ac:dyDescent="0.35">
      <c r="A7" t="s">
        <v>212</v>
      </c>
      <c r="B7">
        <v>7.5</v>
      </c>
      <c r="C7" t="s">
        <v>138</v>
      </c>
      <c r="D7">
        <v>0.01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 t="s">
        <v>139</v>
      </c>
      <c r="L7" s="2">
        <v>45653</v>
      </c>
      <c r="M7" s="2">
        <v>45645</v>
      </c>
      <c r="N7">
        <v>0.50000500000000003</v>
      </c>
      <c r="O7" t="b">
        <v>0</v>
      </c>
    </row>
    <row r="8" spans="1:15" x14ac:dyDescent="0.35">
      <c r="A8" t="s">
        <v>213</v>
      </c>
      <c r="B8">
        <v>8</v>
      </c>
      <c r="C8" t="s">
        <v>138</v>
      </c>
      <c r="D8">
        <v>0.01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 t="s">
        <v>139</v>
      </c>
      <c r="L8" s="2">
        <v>45653</v>
      </c>
      <c r="M8" s="2">
        <v>45649</v>
      </c>
      <c r="N8">
        <v>0.50000500000000003</v>
      </c>
      <c r="O8" t="b">
        <v>0</v>
      </c>
    </row>
    <row r="9" spans="1:15" x14ac:dyDescent="0.35">
      <c r="A9" t="s">
        <v>214</v>
      </c>
      <c r="B9">
        <v>8.5</v>
      </c>
      <c r="C9" t="s">
        <v>138</v>
      </c>
      <c r="D9">
        <v>0.01</v>
      </c>
      <c r="E9">
        <v>0</v>
      </c>
      <c r="F9">
        <v>0</v>
      </c>
      <c r="G9">
        <v>2</v>
      </c>
      <c r="H9">
        <v>0</v>
      </c>
      <c r="I9">
        <v>0</v>
      </c>
      <c r="J9">
        <v>0</v>
      </c>
      <c r="K9" t="s">
        <v>139</v>
      </c>
      <c r="L9" s="2">
        <v>45653</v>
      </c>
      <c r="M9" s="2">
        <v>45649</v>
      </c>
      <c r="N9">
        <v>0.50000500000000003</v>
      </c>
      <c r="O9" t="b">
        <v>0</v>
      </c>
    </row>
    <row r="10" spans="1:15" x14ac:dyDescent="0.35">
      <c r="A10" t="s">
        <v>215</v>
      </c>
      <c r="B10">
        <v>9</v>
      </c>
      <c r="C10" t="s">
        <v>138</v>
      </c>
      <c r="D10">
        <v>0.01</v>
      </c>
      <c r="E10">
        <v>0</v>
      </c>
      <c r="F10">
        <v>0</v>
      </c>
      <c r="G10">
        <v>20</v>
      </c>
      <c r="H10">
        <v>0</v>
      </c>
      <c r="I10">
        <v>0</v>
      </c>
      <c r="J10">
        <v>0</v>
      </c>
      <c r="K10" t="s">
        <v>139</v>
      </c>
      <c r="L10" s="2">
        <v>45653</v>
      </c>
      <c r="M10" s="2">
        <v>45649</v>
      </c>
      <c r="N10">
        <v>0.25000749999999999</v>
      </c>
      <c r="O10" t="b">
        <v>0</v>
      </c>
    </row>
    <row r="11" spans="1:15" x14ac:dyDescent="0.35">
      <c r="A11" t="s">
        <v>216</v>
      </c>
      <c r="B11">
        <v>9.5</v>
      </c>
      <c r="C11" t="s">
        <v>138</v>
      </c>
      <c r="D11">
        <v>0.01</v>
      </c>
      <c r="E11">
        <v>0</v>
      </c>
      <c r="F11">
        <v>0</v>
      </c>
      <c r="G11">
        <v>2177</v>
      </c>
      <c r="H11">
        <v>0</v>
      </c>
      <c r="I11">
        <v>0</v>
      </c>
      <c r="J11">
        <v>0</v>
      </c>
      <c r="K11" t="s">
        <v>139</v>
      </c>
      <c r="L11" s="2">
        <v>45653</v>
      </c>
      <c r="M11" s="2">
        <v>45649</v>
      </c>
      <c r="N11">
        <v>0.12500875</v>
      </c>
      <c r="O11" t="b">
        <v>0</v>
      </c>
    </row>
    <row r="12" spans="1:15" x14ac:dyDescent="0.35">
      <c r="A12" t="s">
        <v>217</v>
      </c>
      <c r="B12">
        <v>10</v>
      </c>
      <c r="C12" t="s">
        <v>138</v>
      </c>
      <c r="D12">
        <v>0.13</v>
      </c>
      <c r="E12">
        <v>0</v>
      </c>
      <c r="F12">
        <v>0</v>
      </c>
      <c r="G12">
        <v>2090</v>
      </c>
      <c r="H12">
        <v>0</v>
      </c>
      <c r="I12">
        <v>0</v>
      </c>
      <c r="J12">
        <v>0</v>
      </c>
      <c r="K12" t="s">
        <v>139</v>
      </c>
      <c r="L12" s="2">
        <v>45653</v>
      </c>
      <c r="M12" s="2">
        <v>45649</v>
      </c>
      <c r="N12" s="42">
        <v>1.0000000000000001E-5</v>
      </c>
      <c r="O12" t="b">
        <v>1</v>
      </c>
    </row>
    <row r="13" spans="1:15" x14ac:dyDescent="0.35">
      <c r="A13" t="s">
        <v>218</v>
      </c>
      <c r="B13">
        <v>10.5</v>
      </c>
      <c r="C13" t="s">
        <v>138</v>
      </c>
      <c r="D13">
        <v>0.59</v>
      </c>
      <c r="E13">
        <v>0</v>
      </c>
      <c r="F13">
        <v>0</v>
      </c>
      <c r="G13">
        <v>331</v>
      </c>
      <c r="H13">
        <v>3745</v>
      </c>
      <c r="I13">
        <v>0</v>
      </c>
      <c r="J13">
        <v>0</v>
      </c>
      <c r="K13" t="s">
        <v>139</v>
      </c>
      <c r="L13" s="2">
        <v>45653</v>
      </c>
      <c r="M13" s="2">
        <v>45649</v>
      </c>
      <c r="N13" s="42">
        <v>1.0000000000000001E-5</v>
      </c>
      <c r="O13" t="b">
        <v>1</v>
      </c>
    </row>
    <row r="14" spans="1:15" x14ac:dyDescent="0.35">
      <c r="A14" t="s">
        <v>219</v>
      </c>
      <c r="B14">
        <v>11</v>
      </c>
      <c r="C14" t="s">
        <v>138</v>
      </c>
      <c r="D14">
        <v>1.0900000000000001</v>
      </c>
      <c r="E14">
        <v>0</v>
      </c>
      <c r="F14">
        <v>0</v>
      </c>
      <c r="G14">
        <v>152</v>
      </c>
      <c r="H14">
        <v>1427</v>
      </c>
      <c r="I14">
        <v>0</v>
      </c>
      <c r="J14">
        <v>0</v>
      </c>
      <c r="K14" t="s">
        <v>139</v>
      </c>
      <c r="L14" s="2">
        <v>45653</v>
      </c>
      <c r="M14" s="2">
        <v>45649</v>
      </c>
      <c r="N14" s="42">
        <v>1.0000000000000001E-5</v>
      </c>
      <c r="O14" t="b">
        <v>1</v>
      </c>
    </row>
    <row r="15" spans="1:15" x14ac:dyDescent="0.35">
      <c r="A15" t="s">
        <v>220</v>
      </c>
      <c r="B15">
        <v>11.5</v>
      </c>
      <c r="C15" t="s">
        <v>138</v>
      </c>
      <c r="D15">
        <v>1.62</v>
      </c>
      <c r="E15">
        <v>0</v>
      </c>
      <c r="F15">
        <v>0</v>
      </c>
      <c r="G15">
        <v>204</v>
      </c>
      <c r="H15">
        <v>0</v>
      </c>
      <c r="I15">
        <v>0</v>
      </c>
      <c r="J15">
        <v>0</v>
      </c>
      <c r="K15" t="s">
        <v>139</v>
      </c>
      <c r="L15" s="2">
        <v>45653</v>
      </c>
      <c r="M15" s="2">
        <v>45649</v>
      </c>
      <c r="N15" s="42">
        <v>1.0000000000000001E-5</v>
      </c>
      <c r="O15" t="b">
        <v>1</v>
      </c>
    </row>
    <row r="16" spans="1:15" x14ac:dyDescent="0.35">
      <c r="A16" t="s">
        <v>221</v>
      </c>
      <c r="B16">
        <v>12</v>
      </c>
      <c r="C16" t="s">
        <v>138</v>
      </c>
      <c r="D16">
        <v>2.15</v>
      </c>
      <c r="E16">
        <v>0</v>
      </c>
      <c r="F16">
        <v>0</v>
      </c>
      <c r="G16">
        <v>51</v>
      </c>
      <c r="H16">
        <v>0</v>
      </c>
      <c r="I16">
        <v>0</v>
      </c>
      <c r="J16">
        <v>0</v>
      </c>
      <c r="K16" t="s">
        <v>139</v>
      </c>
      <c r="L16" s="2">
        <v>45653</v>
      </c>
      <c r="M16" s="2">
        <v>45649</v>
      </c>
      <c r="N16" s="42">
        <v>1.0000000000000001E-5</v>
      </c>
      <c r="O16" t="b">
        <v>1</v>
      </c>
    </row>
    <row r="17" spans="1:15" x14ac:dyDescent="0.35">
      <c r="A17" t="s">
        <v>222</v>
      </c>
      <c r="B17">
        <v>12.5</v>
      </c>
      <c r="C17" t="s">
        <v>138</v>
      </c>
      <c r="D17">
        <v>2.8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  <c r="K17" t="s">
        <v>139</v>
      </c>
      <c r="L17" s="2">
        <v>45653</v>
      </c>
      <c r="M17" s="2">
        <v>45645</v>
      </c>
      <c r="N17" s="42">
        <v>1.0000000000000001E-5</v>
      </c>
      <c r="O17" t="b">
        <v>1</v>
      </c>
    </row>
    <row r="18" spans="1:15" x14ac:dyDescent="0.35">
      <c r="A18" t="s">
        <v>223</v>
      </c>
      <c r="B18">
        <v>13</v>
      </c>
      <c r="C18" t="s">
        <v>138</v>
      </c>
      <c r="D18">
        <v>2.5299999999999998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 t="s">
        <v>139</v>
      </c>
      <c r="L18" s="2">
        <v>45653</v>
      </c>
      <c r="M18" s="2">
        <v>45631</v>
      </c>
      <c r="N18" s="42">
        <v>1.0000000000000001E-5</v>
      </c>
      <c r="O18" t="b">
        <v>1</v>
      </c>
    </row>
    <row r="19" spans="1:15" x14ac:dyDescent="0.35">
      <c r="A19" t="s">
        <v>224</v>
      </c>
      <c r="B19">
        <v>13.5</v>
      </c>
      <c r="C19" t="s">
        <v>138</v>
      </c>
      <c r="D19">
        <v>3</v>
      </c>
      <c r="E19">
        <v>0</v>
      </c>
      <c r="F19">
        <v>0</v>
      </c>
      <c r="G19">
        <v>2</v>
      </c>
      <c r="H19">
        <v>0</v>
      </c>
      <c r="I19">
        <v>0</v>
      </c>
      <c r="J19">
        <v>0</v>
      </c>
      <c r="K19" t="s">
        <v>139</v>
      </c>
      <c r="L19" s="2">
        <v>45653</v>
      </c>
      <c r="M19" s="2">
        <v>45632</v>
      </c>
      <c r="N19" s="42">
        <v>1.0000000000000001E-5</v>
      </c>
      <c r="O19" t="b">
        <v>1</v>
      </c>
    </row>
    <row r="20" spans="1:15" x14ac:dyDescent="0.35">
      <c r="A20" t="s">
        <v>225</v>
      </c>
      <c r="B20">
        <v>14.5</v>
      </c>
      <c r="C20" t="s">
        <v>138</v>
      </c>
      <c r="D20">
        <v>3.8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 t="s">
        <v>139</v>
      </c>
      <c r="L20" s="2">
        <v>45653</v>
      </c>
      <c r="M20" s="2">
        <v>45630</v>
      </c>
      <c r="N20" s="42">
        <v>1.0000000000000001E-5</v>
      </c>
      <c r="O20" t="b">
        <v>1</v>
      </c>
    </row>
    <row r="21" spans="1:15" x14ac:dyDescent="0.35">
      <c r="A21" t="s">
        <v>226</v>
      </c>
      <c r="B21">
        <v>15</v>
      </c>
      <c r="C21" t="s">
        <v>138</v>
      </c>
      <c r="D21">
        <v>5</v>
      </c>
      <c r="E21">
        <v>0</v>
      </c>
      <c r="F21">
        <v>0</v>
      </c>
      <c r="G21">
        <v>2</v>
      </c>
      <c r="H21">
        <v>0</v>
      </c>
      <c r="I21">
        <v>0</v>
      </c>
      <c r="J21">
        <v>0</v>
      </c>
      <c r="K21" t="s">
        <v>139</v>
      </c>
      <c r="L21" s="2">
        <v>45653</v>
      </c>
      <c r="M21" s="2">
        <v>45644</v>
      </c>
      <c r="N21" s="42">
        <v>1.0000000000000001E-5</v>
      </c>
      <c r="O21" t="b">
        <v>1</v>
      </c>
    </row>
    <row r="22" spans="1:15" x14ac:dyDescent="0.35">
      <c r="A22" t="s">
        <v>227</v>
      </c>
      <c r="B22">
        <v>15.5</v>
      </c>
      <c r="C22" t="s">
        <v>138</v>
      </c>
      <c r="D22">
        <v>5.6</v>
      </c>
      <c r="E22">
        <v>0</v>
      </c>
      <c r="F22">
        <v>0</v>
      </c>
      <c r="G22">
        <v>1</v>
      </c>
      <c r="H22">
        <v>0</v>
      </c>
      <c r="I22">
        <v>0</v>
      </c>
      <c r="J22">
        <v>0</v>
      </c>
      <c r="K22" t="s">
        <v>139</v>
      </c>
      <c r="L22" s="2">
        <v>45653</v>
      </c>
      <c r="M22" s="2">
        <v>45649</v>
      </c>
      <c r="N22" s="42">
        <v>1.0000000000000001E-5</v>
      </c>
      <c r="O22" t="b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34D0B-2FC6-4826-9C3A-35098E372669}">
  <sheetPr codeName="Feuil6"/>
  <dimension ref="A1:Q8"/>
  <sheetViews>
    <sheetView workbookViewId="0">
      <selection activeCell="D15" sqref="D15"/>
    </sheetView>
  </sheetViews>
  <sheetFormatPr baseColWidth="10" defaultRowHeight="14.5" x14ac:dyDescent="0.35"/>
  <cols>
    <col min="1" max="1" width="11.08984375" customWidth="1"/>
    <col min="2" max="2" width="31.54296875" bestFit="1" customWidth="1"/>
    <col min="3" max="3" width="12.54296875" bestFit="1" customWidth="1"/>
    <col min="4" max="4" width="13.90625" bestFit="1" customWidth="1"/>
    <col min="5" max="5" width="7.6328125" customWidth="1"/>
    <col min="6" max="6" width="7.81640625" bestFit="1" customWidth="1"/>
    <col min="7" max="7" width="10.6328125" customWidth="1"/>
    <col min="8" max="8" width="22.453125" bestFit="1" customWidth="1"/>
    <col min="9" max="9" width="25.08984375" bestFit="1" customWidth="1"/>
    <col min="10" max="11" width="16.08984375" bestFit="1" customWidth="1"/>
    <col min="12" max="13" width="20.26953125" bestFit="1" customWidth="1"/>
    <col min="14" max="14" width="15.81640625" customWidth="1"/>
    <col min="15" max="15" width="16.36328125" customWidth="1"/>
    <col min="16" max="16" width="11.7265625" customWidth="1"/>
    <col min="17" max="17" width="18.26953125" customWidth="1"/>
  </cols>
  <sheetData>
    <row r="1" spans="1:17" x14ac:dyDescent="0.35">
      <c r="A1" t="s">
        <v>97</v>
      </c>
      <c r="B1" t="s">
        <v>192</v>
      </c>
      <c r="C1" t="s">
        <v>177</v>
      </c>
      <c r="D1" t="s">
        <v>86</v>
      </c>
      <c r="E1" t="s">
        <v>193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</row>
    <row r="2" spans="1:17" x14ac:dyDescent="0.35">
      <c r="A2" t="s">
        <v>239</v>
      </c>
      <c r="B2" t="s">
        <v>240</v>
      </c>
      <c r="C2" t="s">
        <v>190</v>
      </c>
      <c r="D2" t="s">
        <v>241</v>
      </c>
      <c r="E2" t="s">
        <v>194</v>
      </c>
      <c r="F2">
        <v>39437</v>
      </c>
      <c r="G2" t="s">
        <v>191</v>
      </c>
      <c r="H2" t="s">
        <v>240</v>
      </c>
      <c r="I2" t="s">
        <v>203</v>
      </c>
      <c r="J2" t="s">
        <v>242</v>
      </c>
      <c r="K2" t="s">
        <v>242</v>
      </c>
      <c r="L2" t="s">
        <v>243</v>
      </c>
      <c r="M2" t="s">
        <v>243</v>
      </c>
      <c r="N2" t="b">
        <v>1</v>
      </c>
      <c r="O2" t="b">
        <v>1</v>
      </c>
    </row>
    <row r="3" spans="1:17" x14ac:dyDescent="0.35">
      <c r="A3" t="s">
        <v>141</v>
      </c>
      <c r="B3" t="s">
        <v>244</v>
      </c>
      <c r="C3" t="s">
        <v>190</v>
      </c>
      <c r="D3" t="s">
        <v>245</v>
      </c>
      <c r="E3" t="s">
        <v>194</v>
      </c>
      <c r="F3">
        <v>20017</v>
      </c>
      <c r="G3" t="s">
        <v>191</v>
      </c>
      <c r="H3" t="s">
        <v>244</v>
      </c>
      <c r="I3" t="s">
        <v>162</v>
      </c>
      <c r="J3" t="s">
        <v>246</v>
      </c>
      <c r="K3" t="s">
        <v>246</v>
      </c>
      <c r="L3" t="s">
        <v>247</v>
      </c>
      <c r="M3" t="s">
        <v>247</v>
      </c>
      <c r="O3" t="b">
        <v>1</v>
      </c>
    </row>
    <row r="4" spans="1:17" x14ac:dyDescent="0.35">
      <c r="A4" t="s">
        <v>248</v>
      </c>
      <c r="B4" t="s">
        <v>249</v>
      </c>
      <c r="C4" t="s">
        <v>190</v>
      </c>
      <c r="D4" t="s">
        <v>250</v>
      </c>
      <c r="E4" t="s">
        <v>194</v>
      </c>
      <c r="F4">
        <v>20008</v>
      </c>
      <c r="G4" t="s">
        <v>191</v>
      </c>
      <c r="H4" t="s">
        <v>244</v>
      </c>
      <c r="I4" t="s">
        <v>251</v>
      </c>
      <c r="J4" t="s">
        <v>246</v>
      </c>
      <c r="K4" t="s">
        <v>246</v>
      </c>
      <c r="L4" t="s">
        <v>247</v>
      </c>
      <c r="M4" t="s">
        <v>247</v>
      </c>
      <c r="O4" t="b">
        <v>1</v>
      </c>
    </row>
    <row r="5" spans="1:17" x14ac:dyDescent="0.35">
      <c r="A5" t="s">
        <v>252</v>
      </c>
      <c r="B5" t="s">
        <v>253</v>
      </c>
      <c r="C5" t="s">
        <v>190</v>
      </c>
      <c r="D5" t="s">
        <v>254</v>
      </c>
      <c r="E5" t="s">
        <v>194</v>
      </c>
      <c r="F5">
        <v>20005</v>
      </c>
      <c r="G5" t="s">
        <v>191</v>
      </c>
      <c r="H5" t="s">
        <v>240</v>
      </c>
      <c r="I5" t="s">
        <v>255</v>
      </c>
      <c r="J5" t="s">
        <v>242</v>
      </c>
      <c r="K5" t="s">
        <v>242</v>
      </c>
      <c r="L5" t="s">
        <v>243</v>
      </c>
      <c r="M5" t="s">
        <v>243</v>
      </c>
      <c r="O5" t="b">
        <v>1</v>
      </c>
    </row>
    <row r="6" spans="1:17" x14ac:dyDescent="0.35">
      <c r="A6" t="s">
        <v>252</v>
      </c>
      <c r="B6" t="s">
        <v>256</v>
      </c>
      <c r="C6" t="s">
        <v>190</v>
      </c>
      <c r="D6" t="s">
        <v>257</v>
      </c>
      <c r="E6" t="s">
        <v>194</v>
      </c>
      <c r="F6">
        <v>20003</v>
      </c>
      <c r="G6" t="s">
        <v>191</v>
      </c>
      <c r="H6" t="s">
        <v>258</v>
      </c>
      <c r="I6" t="s">
        <v>255</v>
      </c>
      <c r="O6" t="b">
        <v>1</v>
      </c>
    </row>
    <row r="7" spans="1:17" x14ac:dyDescent="0.35">
      <c r="A7" t="s">
        <v>252</v>
      </c>
      <c r="B7" t="s">
        <v>256</v>
      </c>
      <c r="C7" t="s">
        <v>190</v>
      </c>
      <c r="D7" t="s">
        <v>259</v>
      </c>
      <c r="E7" t="s">
        <v>194</v>
      </c>
      <c r="F7">
        <v>20003</v>
      </c>
      <c r="G7" t="s">
        <v>191</v>
      </c>
      <c r="H7" t="s">
        <v>260</v>
      </c>
      <c r="I7" t="s">
        <v>255</v>
      </c>
      <c r="O7" t="b">
        <v>1</v>
      </c>
    </row>
    <row r="8" spans="1:17" x14ac:dyDescent="0.35">
      <c r="A8" t="s">
        <v>261</v>
      </c>
      <c r="B8" t="s">
        <v>249</v>
      </c>
      <c r="C8" t="s">
        <v>190</v>
      </c>
      <c r="D8" t="s">
        <v>262</v>
      </c>
      <c r="E8" t="s">
        <v>194</v>
      </c>
      <c r="F8">
        <v>20003</v>
      </c>
      <c r="G8" t="s">
        <v>191</v>
      </c>
      <c r="H8" t="s">
        <v>263</v>
      </c>
      <c r="I8" t="s">
        <v>264</v>
      </c>
      <c r="J8" t="s">
        <v>246</v>
      </c>
      <c r="K8" t="s">
        <v>246</v>
      </c>
      <c r="L8" t="s">
        <v>247</v>
      </c>
      <c r="M8" t="s">
        <v>247</v>
      </c>
      <c r="O8" t="b">
        <v>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F1520-7CAD-49AE-8A59-C17A2C95042B}">
  <sheetPr codeName="Feuil5"/>
  <dimension ref="A1:AN33"/>
  <sheetViews>
    <sheetView zoomScale="61" workbookViewId="0">
      <selection activeCell="I39" sqref="I39"/>
    </sheetView>
  </sheetViews>
  <sheetFormatPr baseColWidth="10" defaultRowHeight="14.5" x14ac:dyDescent="0.35"/>
  <cols>
    <col min="1" max="1" width="13.7265625" bestFit="1" customWidth="1"/>
    <col min="2" max="2" width="22.90625" bestFit="1" customWidth="1"/>
    <col min="3" max="3" width="18.26953125" bestFit="1" customWidth="1"/>
    <col min="4" max="4" width="22.90625" bestFit="1" customWidth="1"/>
    <col min="5" max="5" width="27" bestFit="1" customWidth="1"/>
    <col min="6" max="6" width="9.90625" bestFit="1" customWidth="1"/>
    <col min="7" max="7" width="21.08984375" bestFit="1" customWidth="1"/>
    <col min="8" max="8" width="29.453125" bestFit="1" customWidth="1"/>
    <col min="9" max="9" width="18.36328125" bestFit="1" customWidth="1"/>
    <col min="10" max="10" width="10.36328125" bestFit="1" customWidth="1"/>
    <col min="11" max="11" width="18.90625" bestFit="1" customWidth="1"/>
    <col min="12" max="12" width="16.1796875" bestFit="1" customWidth="1"/>
    <col min="13" max="13" width="13.453125" bestFit="1" customWidth="1"/>
    <col min="14" max="14" width="11.26953125" bestFit="1" customWidth="1"/>
    <col min="15" max="15" width="10.36328125" bestFit="1" customWidth="1"/>
    <col min="16" max="16" width="9.54296875" bestFit="1" customWidth="1"/>
    <col min="17" max="17" width="13.7265625" bestFit="1" customWidth="1"/>
    <col min="18" max="18" width="18.6328125" bestFit="1" customWidth="1"/>
    <col min="19" max="19" width="14" bestFit="1" customWidth="1"/>
    <col min="20" max="20" width="18.26953125" bestFit="1" customWidth="1"/>
    <col min="21" max="21" width="30.81640625" bestFit="1" customWidth="1"/>
    <col min="22" max="22" width="15.54296875" bestFit="1" customWidth="1"/>
    <col min="23" max="23" width="20.7265625" bestFit="1" customWidth="1"/>
    <col min="24" max="24" width="15.26953125" bestFit="1" customWidth="1"/>
    <col min="25" max="25" width="14.7265625" bestFit="1" customWidth="1"/>
    <col min="26" max="26" width="15.54296875" bestFit="1" customWidth="1"/>
    <col min="27" max="27" width="14.81640625" bestFit="1" customWidth="1"/>
    <col min="28" max="28" width="24" bestFit="1" customWidth="1"/>
    <col min="29" max="29" width="27.81640625" bestFit="1" customWidth="1"/>
    <col min="30" max="30" width="33" bestFit="1" customWidth="1"/>
    <col min="31" max="31" width="25.36328125" bestFit="1" customWidth="1"/>
    <col min="32" max="32" width="24.54296875" bestFit="1" customWidth="1"/>
    <col min="33" max="33" width="23.54296875" bestFit="1" customWidth="1"/>
    <col min="34" max="34" width="40.08984375" bestFit="1" customWidth="1"/>
    <col min="35" max="35" width="25.6328125" bestFit="1" customWidth="1"/>
    <col min="36" max="36" width="21.08984375" bestFit="1" customWidth="1"/>
    <col min="37" max="37" width="14.1796875" bestFit="1" customWidth="1"/>
    <col min="38" max="38" width="20.26953125" bestFit="1" customWidth="1"/>
    <col min="39" max="39" width="16.453125" bestFit="1" customWidth="1"/>
    <col min="40" max="40" width="23.81640625" bestFit="1" customWidth="1"/>
  </cols>
  <sheetData>
    <row r="1" spans="1:40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  <c r="T1" t="s">
        <v>105</v>
      </c>
      <c r="U1" t="s">
        <v>106</v>
      </c>
      <c r="V1" t="s">
        <v>107</v>
      </c>
      <c r="W1" t="s">
        <v>108</v>
      </c>
      <c r="X1" t="s">
        <v>109</v>
      </c>
      <c r="Y1" t="s">
        <v>110</v>
      </c>
      <c r="Z1" t="s">
        <v>111</v>
      </c>
      <c r="AA1" t="s">
        <v>112</v>
      </c>
      <c r="AB1" t="s">
        <v>113</v>
      </c>
      <c r="AC1" t="s">
        <v>114</v>
      </c>
      <c r="AD1" t="s">
        <v>115</v>
      </c>
      <c r="AE1" t="s">
        <v>116</v>
      </c>
      <c r="AF1" t="s">
        <v>117</v>
      </c>
      <c r="AG1" t="s">
        <v>118</v>
      </c>
      <c r="AH1" t="s">
        <v>119</v>
      </c>
      <c r="AI1" t="s">
        <v>120</v>
      </c>
      <c r="AJ1" t="s">
        <v>121</v>
      </c>
      <c r="AK1" t="s">
        <v>122</v>
      </c>
      <c r="AL1" t="s">
        <v>123</v>
      </c>
      <c r="AM1" t="s">
        <v>124</v>
      </c>
      <c r="AN1" t="s">
        <v>159</v>
      </c>
    </row>
    <row r="2" spans="1:40" x14ac:dyDescent="0.35">
      <c r="A2" t="s">
        <v>5</v>
      </c>
      <c r="B2" t="s">
        <v>6</v>
      </c>
      <c r="C2" t="s">
        <v>7</v>
      </c>
      <c r="D2" t="s">
        <v>6</v>
      </c>
      <c r="F2" s="4">
        <v>4.3159999999999997E-2</v>
      </c>
      <c r="G2" t="s">
        <v>265</v>
      </c>
      <c r="H2" t="s">
        <v>266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s="4">
        <v>4.4589999999999998E-2</v>
      </c>
      <c r="O2" s="4">
        <v>4.4589999999999998E-2</v>
      </c>
      <c r="P2" s="4">
        <v>4.3130000000000002E-2</v>
      </c>
      <c r="Q2">
        <v>6.0000000000000001E-3</v>
      </c>
      <c r="R2" s="4">
        <v>1.771E-3</v>
      </c>
      <c r="U2" s="4">
        <v>4.3099999999999999E-2</v>
      </c>
      <c r="V2" t="b">
        <v>1</v>
      </c>
      <c r="W2" t="s">
        <v>13</v>
      </c>
      <c r="X2">
        <v>6.13</v>
      </c>
      <c r="Y2" s="2">
        <v>45293</v>
      </c>
      <c r="Z2">
        <v>4.29</v>
      </c>
      <c r="AA2" s="2">
        <v>45646</v>
      </c>
      <c r="AB2">
        <v>4.2424999999999997</v>
      </c>
      <c r="AC2">
        <v>7.4999999999999997E-3</v>
      </c>
      <c r="AD2" s="4">
        <v>1.771E-3</v>
      </c>
      <c r="AE2">
        <v>99.659099999999995</v>
      </c>
      <c r="AF2">
        <v>4.3825000000000003</v>
      </c>
      <c r="AG2">
        <v>4.24</v>
      </c>
      <c r="AH2">
        <v>4.2350000000000003</v>
      </c>
      <c r="AI2" t="s">
        <v>8</v>
      </c>
      <c r="AJ2" s="2">
        <v>45685</v>
      </c>
      <c r="AK2" s="4">
        <v>0</v>
      </c>
      <c r="AL2" t="s">
        <v>14</v>
      </c>
      <c r="AM2" t="s">
        <v>15</v>
      </c>
      <c r="AN2" t="s">
        <v>146</v>
      </c>
    </row>
    <row r="3" spans="1:40" x14ac:dyDescent="0.35">
      <c r="A3" t="s">
        <v>16</v>
      </c>
      <c r="B3" t="s">
        <v>17</v>
      </c>
      <c r="C3" t="s">
        <v>18</v>
      </c>
      <c r="D3" t="s">
        <v>19</v>
      </c>
      <c r="E3" t="s">
        <v>17</v>
      </c>
      <c r="F3" s="4">
        <v>4.333E-2</v>
      </c>
      <c r="G3" t="s">
        <v>267</v>
      </c>
      <c r="H3" t="s">
        <v>268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s="4">
        <v>4.2889999999999998E-2</v>
      </c>
      <c r="O3" s="4">
        <v>5.1090000000000003E-2</v>
      </c>
      <c r="P3" s="4">
        <v>4.2889999999999998E-2</v>
      </c>
      <c r="Q3">
        <v>2.9000000000000001E-2</v>
      </c>
      <c r="R3" s="4">
        <v>7.1170000000000001E-3</v>
      </c>
      <c r="U3" s="4">
        <v>4.3040000000000002E-2</v>
      </c>
      <c r="V3" t="b">
        <v>1</v>
      </c>
      <c r="W3" t="s">
        <v>13</v>
      </c>
      <c r="X3">
        <v>5.1100000000000003</v>
      </c>
      <c r="Y3" s="2">
        <v>45653</v>
      </c>
      <c r="Z3">
        <v>0</v>
      </c>
      <c r="AB3">
        <v>4.2450000000000001</v>
      </c>
      <c r="AC3">
        <v>0.03</v>
      </c>
      <c r="AD3" s="4">
        <v>7.1170000000000001E-3</v>
      </c>
      <c r="AE3">
        <v>99.346299999999999</v>
      </c>
      <c r="AF3">
        <v>5</v>
      </c>
      <c r="AG3">
        <v>4.2024999999999997</v>
      </c>
      <c r="AH3">
        <v>4.2149999999999999</v>
      </c>
      <c r="AI3" t="s">
        <v>8</v>
      </c>
      <c r="AJ3" s="2">
        <v>45713</v>
      </c>
      <c r="AK3" s="4">
        <v>0</v>
      </c>
      <c r="AL3" t="s">
        <v>14</v>
      </c>
      <c r="AM3" t="s">
        <v>15</v>
      </c>
      <c r="AN3" t="s">
        <v>147</v>
      </c>
    </row>
    <row r="4" spans="1:40" x14ac:dyDescent="0.35">
      <c r="A4" t="s">
        <v>21</v>
      </c>
      <c r="B4" t="s">
        <v>22</v>
      </c>
      <c r="C4" t="s">
        <v>23</v>
      </c>
      <c r="D4" t="s">
        <v>22</v>
      </c>
      <c r="F4" s="4">
        <v>4.3049999999999998E-2</v>
      </c>
      <c r="G4" t="s">
        <v>265</v>
      </c>
      <c r="H4" t="s">
        <v>269</v>
      </c>
      <c r="I4" t="s">
        <v>20</v>
      </c>
      <c r="J4" t="s">
        <v>9</v>
      </c>
      <c r="K4" t="s">
        <v>10</v>
      </c>
      <c r="L4" t="s">
        <v>11</v>
      </c>
      <c r="M4" t="s">
        <v>12</v>
      </c>
      <c r="N4" s="4">
        <v>4.3490000000000001E-2</v>
      </c>
      <c r="O4" s="4">
        <v>4.3999999999999997E-2</v>
      </c>
      <c r="P4" s="4">
        <v>4.2939999999999999E-2</v>
      </c>
      <c r="Q4">
        <v>-3.6999999999999998E-2</v>
      </c>
      <c r="R4" s="4">
        <v>-8.26E-3</v>
      </c>
      <c r="U4" s="4">
        <v>4.342E-2</v>
      </c>
      <c r="V4" t="b">
        <v>1</v>
      </c>
      <c r="W4" t="s">
        <v>13</v>
      </c>
      <c r="X4">
        <v>5.53</v>
      </c>
      <c r="Y4" s="2">
        <v>45366</v>
      </c>
      <c r="Z4">
        <v>4.29</v>
      </c>
      <c r="AA4" s="2">
        <v>45653</v>
      </c>
      <c r="AB4">
        <v>4.2024999999999997</v>
      </c>
      <c r="AC4">
        <v>-3.5000000000000003E-2</v>
      </c>
      <c r="AD4" s="4">
        <v>-8.26E-3</v>
      </c>
      <c r="AE4">
        <v>98.974100000000007</v>
      </c>
      <c r="AF4">
        <v>4.2949999999999999</v>
      </c>
      <c r="AG4">
        <v>4.1924999999999999</v>
      </c>
      <c r="AH4">
        <v>4.2374999999999998</v>
      </c>
      <c r="AI4" t="s">
        <v>20</v>
      </c>
      <c r="AJ4" s="2">
        <v>45743</v>
      </c>
      <c r="AK4" s="4">
        <v>0</v>
      </c>
      <c r="AL4" t="s">
        <v>14</v>
      </c>
      <c r="AM4" t="s">
        <v>15</v>
      </c>
      <c r="AN4" t="s">
        <v>148</v>
      </c>
    </row>
    <row r="5" spans="1:40" x14ac:dyDescent="0.35">
      <c r="A5" t="s">
        <v>24</v>
      </c>
      <c r="B5" t="s">
        <v>25</v>
      </c>
      <c r="C5" t="s">
        <v>26</v>
      </c>
      <c r="D5" t="s">
        <v>27</v>
      </c>
      <c r="E5" t="s">
        <v>27</v>
      </c>
      <c r="F5" s="4">
        <v>4.3290000000000002E-2</v>
      </c>
      <c r="G5" t="s">
        <v>228</v>
      </c>
      <c r="H5" t="s">
        <v>229</v>
      </c>
      <c r="I5" t="s">
        <v>20</v>
      </c>
      <c r="J5" t="s">
        <v>9</v>
      </c>
      <c r="K5" t="s">
        <v>10</v>
      </c>
      <c r="L5" t="s">
        <v>11</v>
      </c>
      <c r="M5" t="s">
        <v>12</v>
      </c>
      <c r="N5" s="4">
        <v>4.4429999999999997E-2</v>
      </c>
      <c r="O5" s="4">
        <v>4.4429999999999997E-2</v>
      </c>
      <c r="P5" s="4">
        <v>4.3290000000000002E-2</v>
      </c>
      <c r="Q5">
        <v>-2.1000000000000001E-2</v>
      </c>
      <c r="R5" s="4">
        <v>-4.7280000000000004E-3</v>
      </c>
      <c r="U5" s="4">
        <v>4.3499999999999997E-2</v>
      </c>
      <c r="V5" t="b">
        <v>1</v>
      </c>
      <c r="W5" t="s">
        <v>13</v>
      </c>
      <c r="X5">
        <v>4.4400000000000004</v>
      </c>
      <c r="Y5" s="2">
        <v>45653</v>
      </c>
      <c r="Z5">
        <v>0</v>
      </c>
      <c r="AB5">
        <v>4.21</v>
      </c>
      <c r="AC5">
        <v>-0.02</v>
      </c>
      <c r="AD5" s="4">
        <v>-4.7280000000000004E-3</v>
      </c>
      <c r="AE5">
        <v>98.572000000000003</v>
      </c>
      <c r="AF5">
        <v>4.32</v>
      </c>
      <c r="AG5">
        <v>4.21</v>
      </c>
      <c r="AH5">
        <v>4.2300000000000004</v>
      </c>
      <c r="AI5" t="s">
        <v>20</v>
      </c>
      <c r="AJ5" s="2">
        <v>45776</v>
      </c>
      <c r="AK5" s="4">
        <v>0</v>
      </c>
      <c r="AL5" t="s">
        <v>14</v>
      </c>
      <c r="AM5" t="s">
        <v>15</v>
      </c>
      <c r="AN5" t="s">
        <v>149</v>
      </c>
    </row>
    <row r="6" spans="1:40" x14ac:dyDescent="0.35">
      <c r="A6" t="s">
        <v>28</v>
      </c>
      <c r="B6" t="s">
        <v>29</v>
      </c>
      <c r="C6" t="s">
        <v>30</v>
      </c>
      <c r="D6" t="s">
        <v>29</v>
      </c>
      <c r="F6" s="4">
        <v>4.3040000000000002E-2</v>
      </c>
      <c r="G6" t="s">
        <v>270</v>
      </c>
      <c r="H6" t="s">
        <v>271</v>
      </c>
      <c r="I6" t="s">
        <v>20</v>
      </c>
      <c r="J6" t="s">
        <v>9</v>
      </c>
      <c r="K6" t="s">
        <v>10</v>
      </c>
      <c r="L6" t="s">
        <v>11</v>
      </c>
      <c r="M6" t="s">
        <v>12</v>
      </c>
      <c r="N6" s="4">
        <v>4.3249999999999997E-2</v>
      </c>
      <c r="O6" s="4">
        <v>4.3430000000000003E-2</v>
      </c>
      <c r="P6" s="4">
        <v>4.3040000000000002E-2</v>
      </c>
      <c r="Q6">
        <v>-0.02</v>
      </c>
      <c r="R6" s="4">
        <v>-4.1920000000000004E-3</v>
      </c>
      <c r="U6" s="4">
        <v>4.3240000000000001E-2</v>
      </c>
      <c r="V6" t="b">
        <v>1</v>
      </c>
      <c r="W6" t="s">
        <v>13</v>
      </c>
      <c r="X6">
        <v>5.56</v>
      </c>
      <c r="Y6" s="2">
        <v>45343</v>
      </c>
      <c r="Z6">
        <v>4.28</v>
      </c>
      <c r="AA6" s="2">
        <v>45646</v>
      </c>
      <c r="AB6">
        <v>4.1574999999999998</v>
      </c>
      <c r="AC6">
        <v>-1.7500000000000002E-2</v>
      </c>
      <c r="AD6" s="4">
        <v>-4.1920000000000004E-3</v>
      </c>
      <c r="AE6">
        <v>97.9345</v>
      </c>
      <c r="AF6">
        <v>4.1950000000000003</v>
      </c>
      <c r="AG6">
        <v>4.1574999999999998</v>
      </c>
      <c r="AH6">
        <v>4.1749999999999998</v>
      </c>
      <c r="AI6" t="s">
        <v>20</v>
      </c>
      <c r="AJ6" s="2">
        <v>45834</v>
      </c>
      <c r="AK6" s="4">
        <v>0</v>
      </c>
      <c r="AL6" t="s">
        <v>14</v>
      </c>
      <c r="AM6" t="s">
        <v>15</v>
      </c>
      <c r="AN6" t="s">
        <v>150</v>
      </c>
    </row>
    <row r="7" spans="1:40" x14ac:dyDescent="0.35">
      <c r="A7" t="s">
        <v>31</v>
      </c>
      <c r="B7" t="s">
        <v>32</v>
      </c>
      <c r="C7" t="s">
        <v>33</v>
      </c>
      <c r="D7" t="s">
        <v>32</v>
      </c>
      <c r="F7" s="4">
        <v>4.2009999999999999E-2</v>
      </c>
      <c r="G7" t="s">
        <v>270</v>
      </c>
      <c r="H7" t="s">
        <v>271</v>
      </c>
      <c r="I7" t="s">
        <v>20</v>
      </c>
      <c r="J7" t="s">
        <v>9</v>
      </c>
      <c r="K7" t="s">
        <v>10</v>
      </c>
      <c r="L7" t="s">
        <v>11</v>
      </c>
      <c r="M7" t="s">
        <v>12</v>
      </c>
      <c r="N7" s="4">
        <v>4.2439999999999999E-2</v>
      </c>
      <c r="O7" s="4">
        <v>4.2520000000000002E-2</v>
      </c>
      <c r="P7" s="4">
        <v>4.1980000000000003E-2</v>
      </c>
      <c r="Q7">
        <v>-3.3000000000000002E-2</v>
      </c>
      <c r="R7" s="4">
        <v>-7.4120000000000002E-3</v>
      </c>
      <c r="U7" s="4">
        <v>4.2340000000000003E-2</v>
      </c>
      <c r="V7" t="b">
        <v>1</v>
      </c>
      <c r="W7" t="s">
        <v>13</v>
      </c>
      <c r="X7">
        <v>5.3</v>
      </c>
      <c r="Y7" s="2">
        <v>45413</v>
      </c>
      <c r="Z7">
        <v>3.9</v>
      </c>
      <c r="AA7" s="2">
        <v>45560</v>
      </c>
      <c r="AB7">
        <v>4.0175000000000001</v>
      </c>
      <c r="AC7">
        <v>-0.03</v>
      </c>
      <c r="AD7" s="4">
        <v>-7.4120000000000002E-3</v>
      </c>
      <c r="AE7">
        <v>95.931200000000004</v>
      </c>
      <c r="AF7">
        <v>4.0650000000000004</v>
      </c>
      <c r="AG7">
        <v>4.0149999999999997</v>
      </c>
      <c r="AH7">
        <v>4.0475000000000003</v>
      </c>
      <c r="AI7" t="s">
        <v>20</v>
      </c>
      <c r="AJ7" s="2">
        <v>46017</v>
      </c>
      <c r="AK7" s="4">
        <v>0</v>
      </c>
      <c r="AL7" t="s">
        <v>14</v>
      </c>
      <c r="AM7" t="s">
        <v>15</v>
      </c>
      <c r="AN7" t="s">
        <v>151</v>
      </c>
    </row>
    <row r="8" spans="1:40" x14ac:dyDescent="0.35">
      <c r="A8" t="s">
        <v>34</v>
      </c>
      <c r="B8" t="s">
        <v>35</v>
      </c>
      <c r="C8" t="s">
        <v>36</v>
      </c>
      <c r="D8" t="s">
        <v>35</v>
      </c>
      <c r="F8" s="4">
        <v>4.326E-2</v>
      </c>
      <c r="G8" t="s">
        <v>272</v>
      </c>
      <c r="H8" t="s">
        <v>273</v>
      </c>
      <c r="I8" t="s">
        <v>20</v>
      </c>
      <c r="J8" t="s">
        <v>9</v>
      </c>
      <c r="K8" t="s">
        <v>10</v>
      </c>
      <c r="L8" t="s">
        <v>11</v>
      </c>
      <c r="M8" t="s">
        <v>12</v>
      </c>
      <c r="N8" s="4">
        <v>4.3299999999999998E-2</v>
      </c>
      <c r="O8" s="4">
        <v>4.3430000000000003E-2</v>
      </c>
      <c r="P8" s="4">
        <v>4.3060000000000001E-2</v>
      </c>
      <c r="Q8">
        <v>-6.0000000000000001E-3</v>
      </c>
      <c r="R8" s="4">
        <v>1.56E-4</v>
      </c>
      <c r="U8" s="4">
        <v>4.3319999999999997E-2</v>
      </c>
      <c r="V8" t="b">
        <v>1</v>
      </c>
      <c r="W8" t="s">
        <v>13</v>
      </c>
      <c r="X8">
        <v>5.19</v>
      </c>
      <c r="Y8" s="2">
        <v>45594</v>
      </c>
      <c r="Z8">
        <v>3.5</v>
      </c>
      <c r="AA8" s="2">
        <v>45560</v>
      </c>
      <c r="AB8">
        <v>99.855500000000006</v>
      </c>
      <c r="AC8">
        <v>1.17E-2</v>
      </c>
      <c r="AD8" s="4">
        <v>1.17E-4</v>
      </c>
      <c r="AE8">
        <v>99.847700000000003</v>
      </c>
      <c r="AF8">
        <v>99.894499999999994</v>
      </c>
      <c r="AG8">
        <v>99.824200000000005</v>
      </c>
      <c r="AH8">
        <v>99.843800000000002</v>
      </c>
      <c r="AI8" t="s">
        <v>8</v>
      </c>
      <c r="AJ8" s="2">
        <v>46387</v>
      </c>
      <c r="AK8" s="4">
        <v>4.2500000000000003E-2</v>
      </c>
      <c r="AL8" t="s">
        <v>14</v>
      </c>
      <c r="AM8" t="s">
        <v>15</v>
      </c>
      <c r="AN8" t="s">
        <v>152</v>
      </c>
    </row>
    <row r="9" spans="1:40" x14ac:dyDescent="0.35">
      <c r="A9" t="s">
        <v>37</v>
      </c>
      <c r="B9" t="s">
        <v>38</v>
      </c>
      <c r="C9" t="s">
        <v>39</v>
      </c>
      <c r="D9" t="s">
        <v>38</v>
      </c>
      <c r="F9" s="4">
        <v>4.3679999999999997E-2</v>
      </c>
      <c r="G9" t="s">
        <v>274</v>
      </c>
      <c r="H9" t="s">
        <v>275</v>
      </c>
      <c r="I9" t="s">
        <v>8</v>
      </c>
      <c r="J9" t="s">
        <v>9</v>
      </c>
      <c r="K9" t="s">
        <v>10</v>
      </c>
      <c r="L9" t="s">
        <v>11</v>
      </c>
      <c r="M9" t="s">
        <v>12</v>
      </c>
      <c r="N9" s="4">
        <v>4.3560000000000001E-2</v>
      </c>
      <c r="O9" s="4">
        <v>4.3720000000000002E-2</v>
      </c>
      <c r="P9" s="4">
        <v>4.3290000000000002E-2</v>
      </c>
      <c r="Q9">
        <v>0.01</v>
      </c>
      <c r="R9" s="4">
        <v>-2.7300000000000002E-4</v>
      </c>
      <c r="U9" s="4">
        <v>4.3580000000000001E-2</v>
      </c>
      <c r="V9" t="b">
        <v>1</v>
      </c>
      <c r="W9" t="s">
        <v>13</v>
      </c>
      <c r="X9">
        <v>6.5</v>
      </c>
      <c r="Y9" s="2">
        <v>45467</v>
      </c>
      <c r="Z9">
        <v>3.38</v>
      </c>
      <c r="AA9" s="2">
        <v>45546</v>
      </c>
      <c r="AB9">
        <v>98.988299999999995</v>
      </c>
      <c r="AC9">
        <v>-2.3400000000000001E-2</v>
      </c>
      <c r="AD9" s="4">
        <v>-2.3699999999999999E-4</v>
      </c>
      <c r="AE9">
        <v>99.019499999999994</v>
      </c>
      <c r="AF9">
        <v>99.093800000000002</v>
      </c>
      <c r="AG9">
        <v>98.976600000000005</v>
      </c>
      <c r="AH9">
        <v>99.011700000000005</v>
      </c>
      <c r="AI9" t="s">
        <v>20</v>
      </c>
      <c r="AJ9" s="2">
        <v>46736</v>
      </c>
      <c r="AK9" s="4">
        <v>0.04</v>
      </c>
      <c r="AL9" t="s">
        <v>14</v>
      </c>
      <c r="AM9" t="s">
        <v>15</v>
      </c>
      <c r="AN9" t="s">
        <v>153</v>
      </c>
    </row>
    <row r="10" spans="1:40" x14ac:dyDescent="0.35">
      <c r="A10" t="s">
        <v>40</v>
      </c>
      <c r="B10" t="s">
        <v>41</v>
      </c>
      <c r="C10" t="s">
        <v>42</v>
      </c>
      <c r="D10" t="s">
        <v>41</v>
      </c>
      <c r="F10" s="4">
        <v>4.4600000000000001E-2</v>
      </c>
      <c r="G10" t="s">
        <v>276</v>
      </c>
      <c r="H10" t="s">
        <v>277</v>
      </c>
      <c r="I10" t="s">
        <v>8</v>
      </c>
      <c r="J10" t="s">
        <v>9</v>
      </c>
      <c r="K10" t="s">
        <v>10</v>
      </c>
      <c r="L10" t="s">
        <v>11</v>
      </c>
      <c r="M10" t="s">
        <v>12</v>
      </c>
      <c r="N10" s="4">
        <v>4.4330000000000001E-2</v>
      </c>
      <c r="O10" s="4">
        <v>4.4600000000000001E-2</v>
      </c>
      <c r="P10" s="4">
        <v>4.4170000000000001E-2</v>
      </c>
      <c r="Q10">
        <v>2.7E-2</v>
      </c>
      <c r="R10" s="4">
        <v>-1.2110000000000001E-3</v>
      </c>
      <c r="U10" s="4">
        <v>4.4330000000000001E-2</v>
      </c>
      <c r="V10" t="b">
        <v>1</v>
      </c>
      <c r="W10" t="s">
        <v>13</v>
      </c>
      <c r="X10">
        <v>4.8499999999999996</v>
      </c>
      <c r="Y10" s="2">
        <v>45407</v>
      </c>
      <c r="Z10">
        <v>3.38</v>
      </c>
      <c r="AA10" s="2">
        <v>45546</v>
      </c>
      <c r="AB10">
        <v>99.625</v>
      </c>
      <c r="AC10">
        <v>-0.1172</v>
      </c>
      <c r="AD10" s="4">
        <v>-1.175E-3</v>
      </c>
      <c r="AE10">
        <v>99.742199999999997</v>
      </c>
      <c r="AF10">
        <v>99.8125</v>
      </c>
      <c r="AG10">
        <v>99.625</v>
      </c>
      <c r="AH10">
        <v>99.742199999999997</v>
      </c>
      <c r="AI10" t="s">
        <v>20</v>
      </c>
      <c r="AJ10" s="2">
        <v>47483</v>
      </c>
      <c r="AK10" s="4">
        <v>4.3749999999999997E-2</v>
      </c>
      <c r="AL10" t="s">
        <v>14</v>
      </c>
      <c r="AM10" t="s">
        <v>15</v>
      </c>
      <c r="AN10" t="s">
        <v>154</v>
      </c>
    </row>
    <row r="11" spans="1:40" x14ac:dyDescent="0.35">
      <c r="A11" t="s">
        <v>43</v>
      </c>
      <c r="B11" t="s">
        <v>44</v>
      </c>
      <c r="C11" t="s">
        <v>45</v>
      </c>
      <c r="D11" t="s">
        <v>46</v>
      </c>
      <c r="E11" t="s">
        <v>47</v>
      </c>
      <c r="F11" s="4">
        <v>4.539E-2</v>
      </c>
      <c r="G11" t="s">
        <v>265</v>
      </c>
      <c r="H11" t="s">
        <v>278</v>
      </c>
      <c r="I11" t="s">
        <v>8</v>
      </c>
      <c r="J11" t="s">
        <v>9</v>
      </c>
      <c r="K11" t="s">
        <v>10</v>
      </c>
      <c r="L11" t="s">
        <v>11</v>
      </c>
      <c r="M11" t="s">
        <v>12</v>
      </c>
      <c r="N11" s="4">
        <v>4.5080000000000002E-2</v>
      </c>
      <c r="O11" s="4">
        <v>4.5420000000000002E-2</v>
      </c>
      <c r="P11" s="4">
        <v>4.4949999999999997E-2</v>
      </c>
      <c r="Q11">
        <v>0.03</v>
      </c>
      <c r="R11" s="4">
        <v>-1.836E-3</v>
      </c>
      <c r="U11" s="4">
        <v>4.5089999999999998E-2</v>
      </c>
      <c r="V11" t="b">
        <v>1</v>
      </c>
      <c r="W11" t="s">
        <v>13</v>
      </c>
      <c r="X11">
        <v>12.41</v>
      </c>
      <c r="Y11" s="2">
        <v>45289</v>
      </c>
      <c r="Z11">
        <v>3.48</v>
      </c>
      <c r="AA11" s="2">
        <v>45546</v>
      </c>
      <c r="AB11">
        <v>99.765600000000006</v>
      </c>
      <c r="AC11">
        <v>-0.18360000000000001</v>
      </c>
      <c r="AD11" s="4">
        <v>-1.8370000000000001E-3</v>
      </c>
      <c r="AE11">
        <v>99.953100000000006</v>
      </c>
      <c r="AF11">
        <v>100.0312</v>
      </c>
      <c r="AG11">
        <v>99.75</v>
      </c>
      <c r="AH11">
        <v>99.949200000000005</v>
      </c>
      <c r="AI11" t="s">
        <v>20</v>
      </c>
      <c r="AJ11" s="2">
        <v>48213</v>
      </c>
      <c r="AK11" s="4">
        <v>4.4999999999999998E-2</v>
      </c>
      <c r="AL11" t="s">
        <v>14</v>
      </c>
      <c r="AM11" t="s">
        <v>15</v>
      </c>
      <c r="AN11" t="s">
        <v>155</v>
      </c>
    </row>
    <row r="12" spans="1:40" x14ac:dyDescent="0.35">
      <c r="A12" t="s">
        <v>48</v>
      </c>
      <c r="B12" t="s">
        <v>49</v>
      </c>
      <c r="C12" t="s">
        <v>50</v>
      </c>
      <c r="D12" t="s">
        <v>49</v>
      </c>
      <c r="F12" s="4">
        <v>4.6210000000000001E-2</v>
      </c>
      <c r="G12" t="s">
        <v>265</v>
      </c>
      <c r="H12" t="s">
        <v>279</v>
      </c>
      <c r="I12" t="s">
        <v>8</v>
      </c>
      <c r="J12" t="s">
        <v>9</v>
      </c>
      <c r="K12" t="s">
        <v>10</v>
      </c>
      <c r="L12" t="s">
        <v>11</v>
      </c>
      <c r="M12" t="s">
        <v>12</v>
      </c>
      <c r="N12" s="4">
        <v>4.5850000000000002E-2</v>
      </c>
      <c r="O12" s="4">
        <v>4.6249999999999999E-2</v>
      </c>
      <c r="P12" s="4">
        <v>4.573E-2</v>
      </c>
      <c r="Q12">
        <v>4.2000000000000003E-2</v>
      </c>
      <c r="R12" s="4">
        <v>9.1719999999999996E-3</v>
      </c>
      <c r="U12" s="4">
        <v>4.5789999999999997E-2</v>
      </c>
      <c r="V12" t="b">
        <v>1</v>
      </c>
      <c r="W12" t="s">
        <v>13</v>
      </c>
      <c r="X12">
        <v>4.76</v>
      </c>
      <c r="Y12" s="2">
        <v>45602</v>
      </c>
      <c r="Z12">
        <v>3.6</v>
      </c>
      <c r="AA12" s="2">
        <v>45552</v>
      </c>
      <c r="AB12">
        <v>97.078100000000006</v>
      </c>
      <c r="AC12">
        <v>-0.3281</v>
      </c>
      <c r="AD12" s="4">
        <v>-3.369E-3</v>
      </c>
      <c r="AE12">
        <v>97.359399999999994</v>
      </c>
      <c r="AF12">
        <v>97.453100000000006</v>
      </c>
      <c r="AG12">
        <v>97.046899999999994</v>
      </c>
      <c r="AH12">
        <v>97.406199999999998</v>
      </c>
      <c r="AI12" t="s">
        <v>20</v>
      </c>
      <c r="AJ12" s="2">
        <v>49263</v>
      </c>
      <c r="AK12" s="4">
        <v>4.2500000000000003E-2</v>
      </c>
      <c r="AL12" t="s">
        <v>14</v>
      </c>
      <c r="AM12" t="s">
        <v>15</v>
      </c>
      <c r="AN12" t="s">
        <v>156</v>
      </c>
    </row>
    <row r="13" spans="1:40" x14ac:dyDescent="0.35">
      <c r="A13" t="s">
        <v>51</v>
      </c>
      <c r="B13" t="s">
        <v>52</v>
      </c>
      <c r="C13" t="s">
        <v>53</v>
      </c>
      <c r="D13" t="s">
        <v>52</v>
      </c>
      <c r="E13" t="s">
        <v>52</v>
      </c>
      <c r="F13" s="4">
        <v>4.9000000000000002E-2</v>
      </c>
      <c r="G13" t="s">
        <v>280</v>
      </c>
      <c r="H13" t="s">
        <v>281</v>
      </c>
      <c r="I13" t="s">
        <v>8</v>
      </c>
      <c r="J13" t="s">
        <v>9</v>
      </c>
      <c r="K13" t="s">
        <v>10</v>
      </c>
      <c r="L13" t="s">
        <v>11</v>
      </c>
      <c r="M13" t="s">
        <v>12</v>
      </c>
      <c r="N13" s="4">
        <v>4.8579999999999998E-2</v>
      </c>
      <c r="O13" s="4">
        <v>4.9020000000000001E-2</v>
      </c>
      <c r="P13" s="4">
        <v>4.8439999999999997E-2</v>
      </c>
      <c r="Q13">
        <v>5.7000000000000002E-2</v>
      </c>
      <c r="R13" s="4">
        <v>0</v>
      </c>
      <c r="U13" s="4">
        <v>4.8430000000000001E-2</v>
      </c>
      <c r="V13" t="b">
        <v>1</v>
      </c>
      <c r="W13" t="s">
        <v>13</v>
      </c>
      <c r="X13">
        <v>8.0500000000000007</v>
      </c>
      <c r="Y13" s="2">
        <v>45369</v>
      </c>
      <c r="Z13">
        <v>3.97</v>
      </c>
      <c r="AA13" s="2">
        <v>45552</v>
      </c>
      <c r="AB13">
        <v>96.531199999999998</v>
      </c>
      <c r="AC13">
        <v>-0.70309999999999995</v>
      </c>
      <c r="AD13" s="4">
        <v>-7.2309999999999996E-3</v>
      </c>
      <c r="AE13">
        <v>97.046899999999994</v>
      </c>
      <c r="AF13">
        <v>97.218800000000002</v>
      </c>
      <c r="AG13">
        <v>96.5</v>
      </c>
      <c r="AH13">
        <v>97.234399999999994</v>
      </c>
      <c r="AI13" t="s">
        <v>20</v>
      </c>
      <c r="AJ13" s="2">
        <v>52916</v>
      </c>
      <c r="AK13" s="4">
        <v>4.6249999999999999E-2</v>
      </c>
      <c r="AL13" t="s">
        <v>14</v>
      </c>
      <c r="AM13" t="s">
        <v>15</v>
      </c>
      <c r="AN13" t="s">
        <v>158</v>
      </c>
    </row>
    <row r="14" spans="1:40" x14ac:dyDescent="0.35">
      <c r="A14" t="s">
        <v>54</v>
      </c>
      <c r="B14" t="s">
        <v>55</v>
      </c>
      <c r="C14" t="s">
        <v>56</v>
      </c>
      <c r="D14" t="s">
        <v>55</v>
      </c>
      <c r="F14" s="4">
        <v>4.8129999999999999E-2</v>
      </c>
      <c r="G14" t="s">
        <v>265</v>
      </c>
      <c r="H14" t="s">
        <v>282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s="4">
        <v>4.7719999999999999E-2</v>
      </c>
      <c r="O14" s="4">
        <v>4.8169999999999998E-2</v>
      </c>
      <c r="P14" s="4">
        <v>4.7600000000000003E-2</v>
      </c>
      <c r="Q14">
        <v>5.0999999999999997E-2</v>
      </c>
      <c r="R14" s="4">
        <v>-8.1639999999999994E-3</v>
      </c>
      <c r="U14" s="4">
        <v>4.7620000000000003E-2</v>
      </c>
      <c r="V14" t="b">
        <v>1</v>
      </c>
      <c r="W14" t="s">
        <v>13</v>
      </c>
      <c r="X14">
        <v>4.8499999999999996</v>
      </c>
      <c r="Y14" s="2">
        <v>45407</v>
      </c>
      <c r="Z14">
        <v>3.9</v>
      </c>
      <c r="AA14" s="2">
        <v>45552</v>
      </c>
      <c r="AB14">
        <v>95.0625</v>
      </c>
      <c r="AC14">
        <v>-0.78120000000000001</v>
      </c>
      <c r="AD14" s="4">
        <v>-8.1510000000000003E-3</v>
      </c>
      <c r="AE14">
        <v>95.6875</v>
      </c>
      <c r="AF14">
        <v>95.875</v>
      </c>
      <c r="AG14">
        <v>95</v>
      </c>
      <c r="AH14">
        <v>95.843800000000002</v>
      </c>
      <c r="AI14" t="s">
        <v>20</v>
      </c>
      <c r="AJ14" s="2">
        <v>56568</v>
      </c>
      <c r="AK14" s="4">
        <v>4.4999999999999998E-2</v>
      </c>
      <c r="AL14" t="s">
        <v>14</v>
      </c>
      <c r="AM14" t="s">
        <v>15</v>
      </c>
      <c r="AN14" t="s">
        <v>157</v>
      </c>
    </row>
    <row r="15" spans="1:40" x14ac:dyDescent="0.35">
      <c r="A15" t="s">
        <v>57</v>
      </c>
      <c r="B15" t="s">
        <v>58</v>
      </c>
      <c r="C15" t="s">
        <v>59</v>
      </c>
      <c r="D15" t="s">
        <v>58</v>
      </c>
      <c r="F15" s="4">
        <v>4.4679999999999997E-2</v>
      </c>
      <c r="G15" t="s">
        <v>230</v>
      </c>
      <c r="H15" t="s">
        <v>231</v>
      </c>
      <c r="I15" t="s">
        <v>8</v>
      </c>
      <c r="J15" t="s">
        <v>9</v>
      </c>
      <c r="K15" t="s">
        <v>10</v>
      </c>
      <c r="L15" t="s">
        <v>12</v>
      </c>
      <c r="M15" t="s">
        <v>12</v>
      </c>
      <c r="N15" s="4">
        <v>4.4470000000000003E-2</v>
      </c>
      <c r="O15" s="4">
        <v>4.4720000000000003E-2</v>
      </c>
      <c r="P15" s="4">
        <v>4.4319999999999998E-2</v>
      </c>
      <c r="Q15">
        <v>1.0999999999999999E-2</v>
      </c>
      <c r="R15" s="4">
        <v>-2.0000000000000001E-4</v>
      </c>
      <c r="S15">
        <v>0</v>
      </c>
      <c r="T15">
        <v>0</v>
      </c>
      <c r="U15" s="4">
        <v>4.4569999999999999E-2</v>
      </c>
      <c r="V15" t="b">
        <v>1</v>
      </c>
      <c r="W15" t="s">
        <v>13</v>
      </c>
      <c r="X15">
        <v>101.38</v>
      </c>
      <c r="Z15">
        <v>4.43</v>
      </c>
      <c r="AA15" s="2">
        <v>45653</v>
      </c>
      <c r="AB15">
        <v>99.322000000000003</v>
      </c>
      <c r="AC15">
        <v>-2.1000000000000001E-2</v>
      </c>
      <c r="AD15" s="4">
        <v>-2.1100000000000001E-4</v>
      </c>
      <c r="AE15">
        <v>99.363</v>
      </c>
      <c r="AF15">
        <v>99.391999999999996</v>
      </c>
      <c r="AG15">
        <v>99.313999999999993</v>
      </c>
      <c r="AH15">
        <v>99.343000000000004</v>
      </c>
      <c r="AI15" t="s">
        <v>20</v>
      </c>
      <c r="AJ15" s="2">
        <v>46416</v>
      </c>
      <c r="AK15" s="4">
        <v>4.1250000000000002E-2</v>
      </c>
      <c r="AL15" t="s">
        <v>60</v>
      </c>
      <c r="AM15" t="s">
        <v>15</v>
      </c>
    </row>
    <row r="16" spans="1:40" x14ac:dyDescent="0.35">
      <c r="A16" t="s">
        <v>61</v>
      </c>
      <c r="B16" t="s">
        <v>62</v>
      </c>
      <c r="C16" t="s">
        <v>63</v>
      </c>
      <c r="D16" t="s">
        <v>62</v>
      </c>
      <c r="F16" s="4">
        <v>4.4159999999999998E-2</v>
      </c>
      <c r="G16" t="s">
        <v>232</v>
      </c>
      <c r="H16" t="s">
        <v>233</v>
      </c>
      <c r="I16" t="s">
        <v>8</v>
      </c>
      <c r="J16" t="s">
        <v>9</v>
      </c>
      <c r="K16" t="s">
        <v>10</v>
      </c>
      <c r="L16" t="s">
        <v>64</v>
      </c>
      <c r="M16" t="s">
        <v>12</v>
      </c>
      <c r="N16" s="4">
        <v>4.4060000000000002E-2</v>
      </c>
      <c r="O16" s="4">
        <v>4.4290000000000003E-2</v>
      </c>
      <c r="P16" s="4">
        <v>4.3830000000000001E-2</v>
      </c>
      <c r="Q16">
        <v>1E-3</v>
      </c>
      <c r="R16" s="4">
        <v>0</v>
      </c>
      <c r="S16">
        <v>0</v>
      </c>
      <c r="T16">
        <v>0</v>
      </c>
      <c r="U16" s="4">
        <v>4.4150000000000002E-2</v>
      </c>
      <c r="V16" t="b">
        <v>1</v>
      </c>
      <c r="W16" t="s">
        <v>13</v>
      </c>
      <c r="X16">
        <v>102.36</v>
      </c>
      <c r="Z16">
        <v>4.38</v>
      </c>
      <c r="AA16" s="2">
        <v>45653</v>
      </c>
      <c r="AB16">
        <v>98.807000000000002</v>
      </c>
      <c r="AC16">
        <v>-3.0000000000000001E-3</v>
      </c>
      <c r="AD16" s="4">
        <v>-3.0000000000000001E-5</v>
      </c>
      <c r="AE16">
        <v>98.846000000000004</v>
      </c>
      <c r="AF16">
        <v>98.942999999999998</v>
      </c>
      <c r="AG16">
        <v>98.756</v>
      </c>
      <c r="AH16">
        <v>98.81</v>
      </c>
      <c r="AI16" t="s">
        <v>20</v>
      </c>
      <c r="AJ16" s="2">
        <v>47321</v>
      </c>
      <c r="AK16" s="4">
        <v>4.1250000000000002E-2</v>
      </c>
      <c r="AL16" t="s">
        <v>65</v>
      </c>
      <c r="AM16" t="s">
        <v>66</v>
      </c>
    </row>
    <row r="17" spans="1:40" x14ac:dyDescent="0.35">
      <c r="A17" t="s">
        <v>67</v>
      </c>
      <c r="B17" t="s">
        <v>68</v>
      </c>
      <c r="C17" t="s">
        <v>69</v>
      </c>
      <c r="D17" t="s">
        <v>70</v>
      </c>
      <c r="F17" s="4">
        <v>4.6390000000000001E-2</v>
      </c>
      <c r="G17" t="s">
        <v>234</v>
      </c>
      <c r="H17" t="s">
        <v>235</v>
      </c>
      <c r="I17" t="s">
        <v>8</v>
      </c>
      <c r="J17" t="s">
        <v>9</v>
      </c>
      <c r="K17" t="s">
        <v>10</v>
      </c>
      <c r="L17" t="s">
        <v>64</v>
      </c>
      <c r="M17" t="s">
        <v>12</v>
      </c>
      <c r="N17" s="4">
        <v>4.6260000000000003E-2</v>
      </c>
      <c r="O17" s="4">
        <v>4.6449999999999998E-2</v>
      </c>
      <c r="P17" s="4">
        <v>4.6100000000000002E-2</v>
      </c>
      <c r="Q17">
        <v>5.0000000000000001E-3</v>
      </c>
      <c r="R17" s="4">
        <v>1.0790000000000001E-3</v>
      </c>
      <c r="S17">
        <v>0</v>
      </c>
      <c r="T17">
        <v>0</v>
      </c>
      <c r="U17" s="4">
        <v>4.6339999999999999E-2</v>
      </c>
      <c r="V17" t="b">
        <v>1</v>
      </c>
      <c r="W17" t="s">
        <v>13</v>
      </c>
      <c r="X17">
        <v>4.66</v>
      </c>
      <c r="Y17" s="2">
        <v>45645</v>
      </c>
      <c r="Z17">
        <v>3.43</v>
      </c>
      <c r="AA17" s="2">
        <v>45287</v>
      </c>
      <c r="AB17">
        <v>97.013000000000005</v>
      </c>
      <c r="AC17">
        <v>-3.4000000000000002E-2</v>
      </c>
      <c r="AD17" s="4">
        <v>-3.5E-4</v>
      </c>
      <c r="AE17">
        <v>97.105999999999995</v>
      </c>
      <c r="AF17">
        <v>97.233000000000004</v>
      </c>
      <c r="AG17">
        <v>96.968999999999994</v>
      </c>
      <c r="AH17">
        <v>97.046999999999997</v>
      </c>
      <c r="AI17" t="s">
        <v>20</v>
      </c>
      <c r="AJ17" s="2">
        <v>49156</v>
      </c>
      <c r="AK17" s="4">
        <v>4.2500000000000003E-2</v>
      </c>
      <c r="AL17" t="s">
        <v>65</v>
      </c>
      <c r="AM17" t="s">
        <v>66</v>
      </c>
    </row>
    <row r="18" spans="1:40" x14ac:dyDescent="0.35">
      <c r="A18" t="s">
        <v>71</v>
      </c>
      <c r="B18" t="s">
        <v>72</v>
      </c>
      <c r="C18" t="s">
        <v>73</v>
      </c>
      <c r="D18" t="s">
        <v>72</v>
      </c>
      <c r="F18" s="4">
        <v>5.1369999999999999E-2</v>
      </c>
      <c r="G18" t="s">
        <v>283</v>
      </c>
      <c r="H18" t="s">
        <v>284</v>
      </c>
      <c r="I18" t="s">
        <v>20</v>
      </c>
      <c r="J18" t="s">
        <v>9</v>
      </c>
      <c r="K18" t="s">
        <v>10</v>
      </c>
      <c r="L18" t="s">
        <v>64</v>
      </c>
      <c r="M18" t="s">
        <v>12</v>
      </c>
      <c r="N18" s="4">
        <v>5.1650000000000001E-2</v>
      </c>
      <c r="O18" s="4">
        <v>5.1909999999999998E-2</v>
      </c>
      <c r="P18" s="4">
        <v>5.1369999999999999E-2</v>
      </c>
      <c r="Q18">
        <v>-4.5999999999999999E-2</v>
      </c>
      <c r="R18" s="4">
        <v>7.1999999999999998E-3</v>
      </c>
      <c r="S18">
        <v>0</v>
      </c>
      <c r="T18">
        <v>0</v>
      </c>
      <c r="U18" s="4">
        <v>5.1830000000000001E-2</v>
      </c>
      <c r="V18" t="b">
        <v>1</v>
      </c>
      <c r="W18" t="s">
        <v>13</v>
      </c>
      <c r="X18">
        <v>100.83</v>
      </c>
      <c r="Z18">
        <v>5.14</v>
      </c>
      <c r="AA18" s="2">
        <v>45653</v>
      </c>
      <c r="AB18">
        <v>88.47</v>
      </c>
      <c r="AC18">
        <v>0.63600000000000001</v>
      </c>
      <c r="AD18" s="4">
        <v>7.241E-3</v>
      </c>
      <c r="AE18">
        <v>88.078999999999994</v>
      </c>
      <c r="AF18">
        <v>88.47</v>
      </c>
      <c r="AG18">
        <v>87.721999999999994</v>
      </c>
      <c r="AH18">
        <v>87.834000000000003</v>
      </c>
      <c r="AI18" t="s">
        <v>8</v>
      </c>
      <c r="AJ18" s="2">
        <v>56461</v>
      </c>
      <c r="AK18" s="4">
        <v>4.3749999999999997E-2</v>
      </c>
      <c r="AL18" t="s">
        <v>65</v>
      </c>
      <c r="AM18" t="s">
        <v>66</v>
      </c>
    </row>
    <row r="19" spans="1:40" x14ac:dyDescent="0.35">
      <c r="A19" t="s">
        <v>74</v>
      </c>
      <c r="B19" t="s">
        <v>75</v>
      </c>
      <c r="C19" t="s">
        <v>75</v>
      </c>
      <c r="D19" t="s">
        <v>76</v>
      </c>
      <c r="F19" s="4">
        <v>2.4E-2</v>
      </c>
      <c r="G19" t="s">
        <v>285</v>
      </c>
      <c r="H19" t="s">
        <v>286</v>
      </c>
      <c r="I19" t="s">
        <v>8</v>
      </c>
      <c r="J19" t="s">
        <v>9</v>
      </c>
      <c r="K19" t="s">
        <v>10</v>
      </c>
      <c r="L19" t="s">
        <v>77</v>
      </c>
      <c r="M19" t="s">
        <v>12</v>
      </c>
      <c r="N19" s="4">
        <v>2.325E-2</v>
      </c>
      <c r="O19" s="4">
        <v>2.4049999999999998E-2</v>
      </c>
      <c r="P19" s="4">
        <v>2.325E-2</v>
      </c>
      <c r="Q19">
        <v>8.9999999999999993E-3</v>
      </c>
      <c r="R19" s="4">
        <v>-8.0000000000000004E-4</v>
      </c>
      <c r="S19">
        <v>0</v>
      </c>
      <c r="T19">
        <v>0</v>
      </c>
      <c r="U19" s="4">
        <v>2.3910000000000001E-2</v>
      </c>
      <c r="V19" t="b">
        <v>1</v>
      </c>
      <c r="W19" t="s">
        <v>13</v>
      </c>
      <c r="X19">
        <v>2.71</v>
      </c>
      <c r="Y19" s="2">
        <v>45443</v>
      </c>
      <c r="Z19">
        <v>1.89</v>
      </c>
      <c r="AA19" s="2">
        <v>45288</v>
      </c>
      <c r="AB19">
        <v>101.688</v>
      </c>
      <c r="AC19">
        <v>-8.1000000000000003E-2</v>
      </c>
      <c r="AD19" s="4">
        <v>-7.9600000000000005E-4</v>
      </c>
      <c r="AE19">
        <v>102.33499999999999</v>
      </c>
      <c r="AF19">
        <v>102.33499999999999</v>
      </c>
      <c r="AG19">
        <v>101.64700000000001</v>
      </c>
      <c r="AH19">
        <v>101.76900000000001</v>
      </c>
      <c r="AI19" t="s">
        <v>20</v>
      </c>
      <c r="AJ19" s="2">
        <v>49171</v>
      </c>
      <c r="AK19" s="4">
        <v>2.5999999999999999E-2</v>
      </c>
      <c r="AL19" t="s">
        <v>78</v>
      </c>
      <c r="AM19" t="s">
        <v>79</v>
      </c>
      <c r="AN19" t="s">
        <v>156</v>
      </c>
    </row>
    <row r="20" spans="1:40" x14ac:dyDescent="0.35">
      <c r="A20" t="s">
        <v>80</v>
      </c>
      <c r="B20" t="s">
        <v>81</v>
      </c>
      <c r="C20" t="s">
        <v>82</v>
      </c>
      <c r="D20" t="s">
        <v>81</v>
      </c>
      <c r="F20" s="4">
        <v>2.6289E-2</v>
      </c>
      <c r="G20" t="s">
        <v>236</v>
      </c>
      <c r="H20" t="s">
        <v>237</v>
      </c>
      <c r="I20" t="s">
        <v>8</v>
      </c>
      <c r="J20" t="s">
        <v>9</v>
      </c>
      <c r="K20" t="s">
        <v>10</v>
      </c>
      <c r="L20" t="s">
        <v>77</v>
      </c>
      <c r="M20" t="s">
        <v>12</v>
      </c>
      <c r="N20" s="4">
        <v>2.5700000000000001E-2</v>
      </c>
      <c r="O20" s="4">
        <v>2.6329999999999999E-2</v>
      </c>
      <c r="P20" s="4">
        <v>2.5680000000000001E-2</v>
      </c>
      <c r="Q20">
        <v>8.0000000000000002E-3</v>
      </c>
      <c r="R20" s="4">
        <v>-1.2999999999999999E-3</v>
      </c>
      <c r="S20">
        <v>0</v>
      </c>
      <c r="T20">
        <v>0</v>
      </c>
      <c r="U20" s="4">
        <v>2.6210000000000001E-2</v>
      </c>
      <c r="V20" t="b">
        <v>1</v>
      </c>
      <c r="W20" t="s">
        <v>13</v>
      </c>
      <c r="X20">
        <v>103.87</v>
      </c>
      <c r="Z20">
        <v>2.57</v>
      </c>
      <c r="AA20" s="2">
        <v>45653</v>
      </c>
      <c r="AB20">
        <v>98.045000000000002</v>
      </c>
      <c r="AC20">
        <v>-0.124</v>
      </c>
      <c r="AD20" s="4">
        <v>-1.263E-3</v>
      </c>
      <c r="AE20">
        <v>98.93</v>
      </c>
      <c r="AF20">
        <v>98.966999999999999</v>
      </c>
      <c r="AG20">
        <v>97.986000000000004</v>
      </c>
      <c r="AH20">
        <v>98.168999999999997</v>
      </c>
      <c r="AI20" t="s">
        <v>20</v>
      </c>
      <c r="AJ20" s="2">
        <v>52782</v>
      </c>
      <c r="AK20" s="4">
        <v>2.5000000000000001E-2</v>
      </c>
      <c r="AL20" t="s">
        <v>78</v>
      </c>
      <c r="AM20" t="s">
        <v>79</v>
      </c>
      <c r="AN20" t="s">
        <v>158</v>
      </c>
    </row>
    <row r="21" spans="1:40" x14ac:dyDescent="0.35">
      <c r="A21" t="s">
        <v>83</v>
      </c>
      <c r="B21" t="s">
        <v>84</v>
      </c>
      <c r="C21" t="s">
        <v>85</v>
      </c>
      <c r="D21" t="s">
        <v>84</v>
      </c>
      <c r="F21" s="4">
        <v>2.6290000000000001E-2</v>
      </c>
      <c r="G21" t="s">
        <v>287</v>
      </c>
      <c r="H21" t="s">
        <v>288</v>
      </c>
      <c r="I21" t="s">
        <v>8</v>
      </c>
      <c r="J21" t="s">
        <v>9</v>
      </c>
      <c r="K21" t="s">
        <v>10</v>
      </c>
      <c r="L21" t="s">
        <v>77</v>
      </c>
      <c r="M21" t="s">
        <v>12</v>
      </c>
      <c r="N21" s="4">
        <v>2.5569999999999999E-2</v>
      </c>
      <c r="O21" s="4">
        <v>2.632E-2</v>
      </c>
      <c r="P21" s="4">
        <v>2.555E-2</v>
      </c>
      <c r="Q21">
        <v>5.0000000000000001E-3</v>
      </c>
      <c r="R21" s="4">
        <v>-1.1000000000000001E-3</v>
      </c>
      <c r="S21">
        <v>0</v>
      </c>
      <c r="T21">
        <v>0</v>
      </c>
      <c r="U21" s="4">
        <v>2.6239999999999999E-2</v>
      </c>
      <c r="V21" t="b">
        <v>1</v>
      </c>
      <c r="W21" t="s">
        <v>13</v>
      </c>
      <c r="X21">
        <v>105.12</v>
      </c>
      <c r="Z21">
        <v>2.56</v>
      </c>
      <c r="AA21" s="2">
        <v>45653</v>
      </c>
      <c r="AB21">
        <v>97.335999999999999</v>
      </c>
      <c r="AC21">
        <v>-0.104</v>
      </c>
      <c r="AD21" s="4">
        <v>-1.067E-3</v>
      </c>
      <c r="AE21">
        <v>98.798000000000002</v>
      </c>
      <c r="AF21">
        <v>98.844999999999999</v>
      </c>
      <c r="AG21">
        <v>97.287000000000006</v>
      </c>
      <c r="AH21">
        <v>97.44</v>
      </c>
      <c r="AI21" t="s">
        <v>20</v>
      </c>
      <c r="AJ21" s="2">
        <v>56476</v>
      </c>
      <c r="AK21" s="4">
        <v>2.5000000000000001E-2</v>
      </c>
      <c r="AL21" t="s">
        <v>78</v>
      </c>
      <c r="AM21" t="s">
        <v>79</v>
      </c>
      <c r="AN21" t="s">
        <v>157</v>
      </c>
    </row>
    <row r="33" spans="8:8" x14ac:dyDescent="0.35">
      <c r="H33" s="5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3F646-274C-48EC-B22B-761567C61F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3</vt:i4>
      </vt:variant>
    </vt:vector>
  </HeadingPairs>
  <TitlesOfParts>
    <vt:vector size="12" baseType="lpstr">
      <vt:lpstr>Interface</vt:lpstr>
      <vt:lpstr>Data</vt:lpstr>
      <vt:lpstr>Options</vt:lpstr>
      <vt:lpstr>taux finaux</vt:lpstr>
      <vt:lpstr>Backup</vt:lpstr>
      <vt:lpstr>Calls</vt:lpstr>
      <vt:lpstr>Puts</vt:lpstr>
      <vt:lpstr>Stock Finder</vt:lpstr>
      <vt:lpstr>Taux</vt:lpstr>
      <vt:lpstr>daily_returns</vt:lpstr>
      <vt:lpstr>Taux_EUR</vt:lpstr>
      <vt:lpstr>Taux_US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Duarte</dc:creator>
  <cp:lastModifiedBy>Victor Duarte</cp:lastModifiedBy>
  <dcterms:created xsi:type="dcterms:W3CDTF">2024-11-24T12:41:38Z</dcterms:created>
  <dcterms:modified xsi:type="dcterms:W3CDTF">2024-12-27T20:46:02Z</dcterms:modified>
</cp:coreProperties>
</file>